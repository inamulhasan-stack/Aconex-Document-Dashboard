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hidePivotFieldList="1"/>
  <mc:AlternateContent xmlns:mc="http://schemas.openxmlformats.org/markup-compatibility/2006">
    <mc:Choice Requires="x15">
      <x15ac:absPath xmlns:x15ac="http://schemas.microsoft.com/office/spreadsheetml/2010/11/ac" url="C:\Users\Inamul Hasan\Desktop\"/>
    </mc:Choice>
  </mc:AlternateContent>
  <xr:revisionPtr revIDLastSave="0" documentId="13_ncr:1_{DA9B5E2E-444A-40E5-BD94-3F8A18CDF750}" xr6:coauthVersionLast="47" xr6:coauthVersionMax="47" xr10:uidLastSave="{00000000-0000-0000-0000-000000000000}"/>
  <bookViews>
    <workbookView xWindow="-108" yWindow="-108" windowWidth="23256" windowHeight="12576" firstSheet="1" activeTab="1" xr2:uid="{00000000-000D-0000-FFFF-FFFF00000000}"/>
  </bookViews>
  <sheets>
    <sheet name="Sheet2" sheetId="7" state="hidden" r:id="rId1"/>
    <sheet name="Dashboard" sheetId="8" r:id="rId2"/>
    <sheet name="Document_Data" sheetId="1" r:id="rId3"/>
  </sheets>
  <definedNames>
    <definedName name="Slicer_Discipline1">#N/A</definedName>
    <definedName name="Slicer_Revision1">#N/A</definedName>
    <definedName name="Slicer_Status1">#N/A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1" l="1"/>
  <c r="L4" i="1"/>
  <c r="L3" i="1"/>
</calcChain>
</file>

<file path=xl/sharedStrings.xml><?xml version="1.0" encoding="utf-8"?>
<sst xmlns="http://schemas.openxmlformats.org/spreadsheetml/2006/main" count="2544" uniqueCount="1031">
  <si>
    <t>Doc No</t>
  </si>
  <si>
    <t>Title</t>
  </si>
  <si>
    <t>Discipline</t>
  </si>
  <si>
    <t>Revision</t>
  </si>
  <si>
    <t>Issued Date</t>
  </si>
  <si>
    <t>Approved Date</t>
  </si>
  <si>
    <t>Status</t>
  </si>
  <si>
    <t>Days Overdue</t>
  </si>
  <si>
    <t>DRG-001</t>
  </si>
  <si>
    <t>Drawing 1</t>
  </si>
  <si>
    <t>Plumbing</t>
  </si>
  <si>
    <t>A</t>
  </si>
  <si>
    <t>Pending</t>
  </si>
  <si>
    <t>DRG-002</t>
  </si>
  <si>
    <t>Drawing 2</t>
  </si>
  <si>
    <t>C</t>
  </si>
  <si>
    <t>Rejected</t>
  </si>
  <si>
    <t>DRG-003</t>
  </si>
  <si>
    <t>Drawing 3</t>
  </si>
  <si>
    <t>Electrical</t>
  </si>
  <si>
    <t>DRG-004</t>
  </si>
  <si>
    <t>Drawing 4</t>
  </si>
  <si>
    <t>Mechanical</t>
  </si>
  <si>
    <t>DRG-005</t>
  </si>
  <si>
    <t>Drawing 5</t>
  </si>
  <si>
    <t>Architectural</t>
  </si>
  <si>
    <t>DRG-006</t>
  </si>
  <si>
    <t>Drawing 6</t>
  </si>
  <si>
    <t>Civil</t>
  </si>
  <si>
    <t>DRG-007</t>
  </si>
  <si>
    <t>Drawing 7</t>
  </si>
  <si>
    <t>Approved</t>
  </si>
  <si>
    <t>DRG-008</t>
  </si>
  <si>
    <t>Drawing 8</t>
  </si>
  <si>
    <t>DRG-009</t>
  </si>
  <si>
    <t>Drawing 9</t>
  </si>
  <si>
    <t>DRG-010</t>
  </si>
  <si>
    <t>Drawing 10</t>
  </si>
  <si>
    <t>DRG-011</t>
  </si>
  <si>
    <t>Drawing 11</t>
  </si>
  <si>
    <t>D</t>
  </si>
  <si>
    <t>DRG-012</t>
  </si>
  <si>
    <t>Drawing 12</t>
  </si>
  <si>
    <t>DRG-013</t>
  </si>
  <si>
    <t>Drawing 13</t>
  </si>
  <si>
    <t>DRG-014</t>
  </si>
  <si>
    <t>Drawing 14</t>
  </si>
  <si>
    <t>DRG-015</t>
  </si>
  <si>
    <t>Drawing 15</t>
  </si>
  <si>
    <t>DRG-016</t>
  </si>
  <si>
    <t>Drawing 16</t>
  </si>
  <si>
    <t>DRG-017</t>
  </si>
  <si>
    <t>Drawing 17</t>
  </si>
  <si>
    <t>DRG-018</t>
  </si>
  <si>
    <t>Drawing 18</t>
  </si>
  <si>
    <t>DRG-019</t>
  </si>
  <si>
    <t>Drawing 19</t>
  </si>
  <si>
    <t>DRG-020</t>
  </si>
  <si>
    <t>Drawing 20</t>
  </si>
  <si>
    <t>DRG-021</t>
  </si>
  <si>
    <t>Drawing 21</t>
  </si>
  <si>
    <t>DRG-022</t>
  </si>
  <si>
    <t>Drawing 22</t>
  </si>
  <si>
    <t>DRG-023</t>
  </si>
  <si>
    <t>Drawing 23</t>
  </si>
  <si>
    <t>B</t>
  </si>
  <si>
    <t>DRG-024</t>
  </si>
  <si>
    <t>Drawing 24</t>
  </si>
  <si>
    <t>DRG-025</t>
  </si>
  <si>
    <t>Drawing 25</t>
  </si>
  <si>
    <t>DRG-026</t>
  </si>
  <si>
    <t>Drawing 26</t>
  </si>
  <si>
    <t>DRG-027</t>
  </si>
  <si>
    <t>Drawing 27</t>
  </si>
  <si>
    <t>DRG-028</t>
  </si>
  <si>
    <t>Drawing 28</t>
  </si>
  <si>
    <t>DRG-029</t>
  </si>
  <si>
    <t>Drawing 29</t>
  </si>
  <si>
    <t>DRG-030</t>
  </si>
  <si>
    <t>Drawing 30</t>
  </si>
  <si>
    <t>DRG-031</t>
  </si>
  <si>
    <t>Drawing 31</t>
  </si>
  <si>
    <t>DRG-032</t>
  </si>
  <si>
    <t>Drawing 32</t>
  </si>
  <si>
    <t>DRG-033</t>
  </si>
  <si>
    <t>Drawing 33</t>
  </si>
  <si>
    <t>DRG-034</t>
  </si>
  <si>
    <t>Drawing 34</t>
  </si>
  <si>
    <t>DRG-035</t>
  </si>
  <si>
    <t>Drawing 35</t>
  </si>
  <si>
    <t>DRG-036</t>
  </si>
  <si>
    <t>Drawing 36</t>
  </si>
  <si>
    <t>DRG-037</t>
  </si>
  <si>
    <t>Drawing 37</t>
  </si>
  <si>
    <t>DRG-038</t>
  </si>
  <si>
    <t>Drawing 38</t>
  </si>
  <si>
    <t>DRG-039</t>
  </si>
  <si>
    <t>Drawing 39</t>
  </si>
  <si>
    <t>DRG-040</t>
  </si>
  <si>
    <t>Drawing 40</t>
  </si>
  <si>
    <t>Row Labels</t>
  </si>
  <si>
    <t>Grand Total</t>
  </si>
  <si>
    <t>(All)</t>
  </si>
  <si>
    <t>Column Labels</t>
  </si>
  <si>
    <t>Count of Doc No</t>
  </si>
  <si>
    <t>DRG-041</t>
  </si>
  <si>
    <t>Drawing 41</t>
  </si>
  <si>
    <t>For Review</t>
  </si>
  <si>
    <t>DRG-042</t>
  </si>
  <si>
    <t>Drawing 42</t>
  </si>
  <si>
    <t>Issued for Construction</t>
  </si>
  <si>
    <t>DRG-043</t>
  </si>
  <si>
    <t>Drawing 43</t>
  </si>
  <si>
    <t>Architecture</t>
  </si>
  <si>
    <t>DRG-044</t>
  </si>
  <si>
    <t>Drawing 44</t>
  </si>
  <si>
    <t>DRG-045</t>
  </si>
  <si>
    <t>Drawing 45</t>
  </si>
  <si>
    <t>DRG-046</t>
  </si>
  <si>
    <t>Drawing 46</t>
  </si>
  <si>
    <t>DRG-047</t>
  </si>
  <si>
    <t>Drawing 47</t>
  </si>
  <si>
    <t>DRG-048</t>
  </si>
  <si>
    <t>Drawing 48</t>
  </si>
  <si>
    <t>DRG-049</t>
  </si>
  <si>
    <t>Drawing 49</t>
  </si>
  <si>
    <t>DRG-050</t>
  </si>
  <si>
    <t>Drawing 50</t>
  </si>
  <si>
    <t>DRG-051</t>
  </si>
  <si>
    <t>Drawing 51</t>
  </si>
  <si>
    <t>DRG-052</t>
  </si>
  <si>
    <t>Drawing 52</t>
  </si>
  <si>
    <t>DRG-053</t>
  </si>
  <si>
    <t>Drawing 53</t>
  </si>
  <si>
    <t>DRG-054</t>
  </si>
  <si>
    <t>Drawing 54</t>
  </si>
  <si>
    <t>DRG-055</t>
  </si>
  <si>
    <t>Drawing 55</t>
  </si>
  <si>
    <t>DRG-056</t>
  </si>
  <si>
    <t>Drawing 56</t>
  </si>
  <si>
    <t>DRG-057</t>
  </si>
  <si>
    <t>Drawing 57</t>
  </si>
  <si>
    <t>DRG-058</t>
  </si>
  <si>
    <t>Drawing 58</t>
  </si>
  <si>
    <t>DRG-059</t>
  </si>
  <si>
    <t>Drawing 59</t>
  </si>
  <si>
    <t>DRG-060</t>
  </si>
  <si>
    <t>Drawing 60</t>
  </si>
  <si>
    <t>DRG-061</t>
  </si>
  <si>
    <t>Drawing 61</t>
  </si>
  <si>
    <t>DRG-062</t>
  </si>
  <si>
    <t>Drawing 62</t>
  </si>
  <si>
    <t>DRG-063</t>
  </si>
  <si>
    <t>Drawing 63</t>
  </si>
  <si>
    <t>DRG-064</t>
  </si>
  <si>
    <t>Drawing 64</t>
  </si>
  <si>
    <t>DRG-065</t>
  </si>
  <si>
    <t>Drawing 65</t>
  </si>
  <si>
    <t>DRG-066</t>
  </si>
  <si>
    <t>Drawing 66</t>
  </si>
  <si>
    <t>DRG-067</t>
  </si>
  <si>
    <t>Drawing 67</t>
  </si>
  <si>
    <t>DRG-068</t>
  </si>
  <si>
    <t>Drawing 68</t>
  </si>
  <si>
    <t>DRG-069</t>
  </si>
  <si>
    <t>Drawing 69</t>
  </si>
  <si>
    <t>DRG-070</t>
  </si>
  <si>
    <t>Drawing 70</t>
  </si>
  <si>
    <t>DRG-071</t>
  </si>
  <si>
    <t>Drawing 71</t>
  </si>
  <si>
    <t>DRG-072</t>
  </si>
  <si>
    <t>Drawing 72</t>
  </si>
  <si>
    <t>DRG-073</t>
  </si>
  <si>
    <t>Drawing 73</t>
  </si>
  <si>
    <t>DRG-074</t>
  </si>
  <si>
    <t>Drawing 74</t>
  </si>
  <si>
    <t>DRG-075</t>
  </si>
  <si>
    <t>Drawing 75</t>
  </si>
  <si>
    <t>DRG-076</t>
  </si>
  <si>
    <t>Drawing 76</t>
  </si>
  <si>
    <t>DRG-077</t>
  </si>
  <si>
    <t>Drawing 77</t>
  </si>
  <si>
    <t>DRG-078</t>
  </si>
  <si>
    <t>Drawing 78</t>
  </si>
  <si>
    <t>DRG-079</t>
  </si>
  <si>
    <t>Drawing 79</t>
  </si>
  <si>
    <t>DRG-080</t>
  </si>
  <si>
    <t>Drawing 80</t>
  </si>
  <si>
    <t>DRG-081</t>
  </si>
  <si>
    <t>Drawing 81</t>
  </si>
  <si>
    <t>DRG-082</t>
  </si>
  <si>
    <t>Drawing 82</t>
  </si>
  <si>
    <t>DRG-083</t>
  </si>
  <si>
    <t>Drawing 83</t>
  </si>
  <si>
    <t>DRG-084</t>
  </si>
  <si>
    <t>Drawing 84</t>
  </si>
  <si>
    <t>DRG-085</t>
  </si>
  <si>
    <t>Drawing 85</t>
  </si>
  <si>
    <t>DRG-086</t>
  </si>
  <si>
    <t>Drawing 86</t>
  </si>
  <si>
    <t>DRG-087</t>
  </si>
  <si>
    <t>Drawing 87</t>
  </si>
  <si>
    <t>DRG-088</t>
  </si>
  <si>
    <t>Drawing 88</t>
  </si>
  <si>
    <t>DRG-089</t>
  </si>
  <si>
    <t>Drawing 89</t>
  </si>
  <si>
    <t>DRG-090</t>
  </si>
  <si>
    <t>Drawing 90</t>
  </si>
  <si>
    <t>DRG-091</t>
  </si>
  <si>
    <t>Drawing 91</t>
  </si>
  <si>
    <t>DRG-092</t>
  </si>
  <si>
    <t>Drawing 92</t>
  </si>
  <si>
    <t>DRG-093</t>
  </si>
  <si>
    <t>Drawing 93</t>
  </si>
  <si>
    <t>DRG-094</t>
  </si>
  <si>
    <t>Drawing 94</t>
  </si>
  <si>
    <t>DRG-095</t>
  </si>
  <si>
    <t>Drawing 95</t>
  </si>
  <si>
    <t>DRG-096</t>
  </si>
  <si>
    <t>Drawing 96</t>
  </si>
  <si>
    <t>DRG-097</t>
  </si>
  <si>
    <t>Drawing 97</t>
  </si>
  <si>
    <t>DRG-098</t>
  </si>
  <si>
    <t>Drawing 98</t>
  </si>
  <si>
    <t>DRG-099</t>
  </si>
  <si>
    <t>Drawing 99</t>
  </si>
  <si>
    <t>DRG-100</t>
  </si>
  <si>
    <t>Drawing 100</t>
  </si>
  <si>
    <t>DRG-101</t>
  </si>
  <si>
    <t>Drawing 101</t>
  </si>
  <si>
    <t>DRG-102</t>
  </si>
  <si>
    <t>Drawing 102</t>
  </si>
  <si>
    <t>DRG-103</t>
  </si>
  <si>
    <t>Drawing 103</t>
  </si>
  <si>
    <t>DRG-104</t>
  </si>
  <si>
    <t>Drawing 104</t>
  </si>
  <si>
    <t>DRG-105</t>
  </si>
  <si>
    <t>Drawing 105</t>
  </si>
  <si>
    <t>DRG-106</t>
  </si>
  <si>
    <t>Drawing 106</t>
  </si>
  <si>
    <t>DRG-107</t>
  </si>
  <si>
    <t>Drawing 107</t>
  </si>
  <si>
    <t>DRG-108</t>
  </si>
  <si>
    <t>Drawing 108</t>
  </si>
  <si>
    <t>DRG-109</t>
  </si>
  <si>
    <t>Drawing 109</t>
  </si>
  <si>
    <t>DRG-110</t>
  </si>
  <si>
    <t>Drawing 110</t>
  </si>
  <si>
    <t>DRG-111</t>
  </si>
  <si>
    <t>Drawing 111</t>
  </si>
  <si>
    <t>DRG-112</t>
  </si>
  <si>
    <t>Drawing 112</t>
  </si>
  <si>
    <t>DRG-113</t>
  </si>
  <si>
    <t>Drawing 113</t>
  </si>
  <si>
    <t>DRG-114</t>
  </si>
  <si>
    <t>Drawing 114</t>
  </si>
  <si>
    <t>DRG-115</t>
  </si>
  <si>
    <t>Drawing 115</t>
  </si>
  <si>
    <t>DRG-116</t>
  </si>
  <si>
    <t>Drawing 116</t>
  </si>
  <si>
    <t>DRG-117</t>
  </si>
  <si>
    <t>Drawing 117</t>
  </si>
  <si>
    <t>DRG-118</t>
  </si>
  <si>
    <t>Drawing 118</t>
  </si>
  <si>
    <t>DRG-119</t>
  </si>
  <si>
    <t>Drawing 119</t>
  </si>
  <si>
    <t>DRG-120</t>
  </si>
  <si>
    <t>Drawing 120</t>
  </si>
  <si>
    <t>DRG-121</t>
  </si>
  <si>
    <t>Drawing 121</t>
  </si>
  <si>
    <t>DRG-122</t>
  </si>
  <si>
    <t>Drawing 122</t>
  </si>
  <si>
    <t>DRG-123</t>
  </si>
  <si>
    <t>Drawing 123</t>
  </si>
  <si>
    <t>DRG-124</t>
  </si>
  <si>
    <t>Drawing 124</t>
  </si>
  <si>
    <t>DRG-125</t>
  </si>
  <si>
    <t>Drawing 125</t>
  </si>
  <si>
    <t>DRG-126</t>
  </si>
  <si>
    <t>Drawing 126</t>
  </si>
  <si>
    <t>DRG-127</t>
  </si>
  <si>
    <t>Drawing 127</t>
  </si>
  <si>
    <t>DRG-128</t>
  </si>
  <si>
    <t>Drawing 128</t>
  </si>
  <si>
    <t>DRG-129</t>
  </si>
  <si>
    <t>Drawing 129</t>
  </si>
  <si>
    <t>DRG-130</t>
  </si>
  <si>
    <t>Drawing 130</t>
  </si>
  <si>
    <t>DRG-131</t>
  </si>
  <si>
    <t>Drawing 131</t>
  </si>
  <si>
    <t>DRG-132</t>
  </si>
  <si>
    <t>Drawing 132</t>
  </si>
  <si>
    <t>DRG-133</t>
  </si>
  <si>
    <t>Drawing 133</t>
  </si>
  <si>
    <t>DRG-134</t>
  </si>
  <si>
    <t>Drawing 134</t>
  </si>
  <si>
    <t>DRG-135</t>
  </si>
  <si>
    <t>Drawing 135</t>
  </si>
  <si>
    <t>DRG-136</t>
  </si>
  <si>
    <t>Drawing 136</t>
  </si>
  <si>
    <t>DRG-137</t>
  </si>
  <si>
    <t>Drawing 137</t>
  </si>
  <si>
    <t>DRG-138</t>
  </si>
  <si>
    <t>Drawing 138</t>
  </si>
  <si>
    <t>DRG-139</t>
  </si>
  <si>
    <t>Drawing 139</t>
  </si>
  <si>
    <t>DRG-140</t>
  </si>
  <si>
    <t>Drawing 140</t>
  </si>
  <si>
    <t>DRG-141</t>
  </si>
  <si>
    <t>Drawing 141</t>
  </si>
  <si>
    <t>DRG-142</t>
  </si>
  <si>
    <t>Drawing 142</t>
  </si>
  <si>
    <t>DRG-143</t>
  </si>
  <si>
    <t>Drawing 143</t>
  </si>
  <si>
    <t>DRG-144</t>
  </si>
  <si>
    <t>Drawing 144</t>
  </si>
  <si>
    <t>DRG-145</t>
  </si>
  <si>
    <t>Drawing 145</t>
  </si>
  <si>
    <t>DRG-146</t>
  </si>
  <si>
    <t>Drawing 146</t>
  </si>
  <si>
    <t>DRG-147</t>
  </si>
  <si>
    <t>Drawing 147</t>
  </si>
  <si>
    <t>DRG-148</t>
  </si>
  <si>
    <t>Drawing 148</t>
  </si>
  <si>
    <t>DRG-149</t>
  </si>
  <si>
    <t>Drawing 149</t>
  </si>
  <si>
    <t>DRG-150</t>
  </si>
  <si>
    <t>Drawing 150</t>
  </si>
  <si>
    <t>DRG-151</t>
  </si>
  <si>
    <t>Drawing 151</t>
  </si>
  <si>
    <t>DRG-152</t>
  </si>
  <si>
    <t>Drawing 152</t>
  </si>
  <si>
    <t>DRG-153</t>
  </si>
  <si>
    <t>Drawing 153</t>
  </si>
  <si>
    <t>DRG-154</t>
  </si>
  <si>
    <t>Drawing 154</t>
  </si>
  <si>
    <t>DRG-155</t>
  </si>
  <si>
    <t>Drawing 155</t>
  </si>
  <si>
    <t>DRG-156</t>
  </si>
  <si>
    <t>Drawing 156</t>
  </si>
  <si>
    <t>DRG-157</t>
  </si>
  <si>
    <t>Drawing 157</t>
  </si>
  <si>
    <t>DRG-158</t>
  </si>
  <si>
    <t>Drawing 158</t>
  </si>
  <si>
    <t>DRG-159</t>
  </si>
  <si>
    <t>Drawing 159</t>
  </si>
  <si>
    <t>DRG-160</t>
  </si>
  <si>
    <t>Drawing 160</t>
  </si>
  <si>
    <t>DRG-161</t>
  </si>
  <si>
    <t>Drawing 161</t>
  </si>
  <si>
    <t>DRG-162</t>
  </si>
  <si>
    <t>Drawing 162</t>
  </si>
  <si>
    <t>DRG-163</t>
  </si>
  <si>
    <t>Drawing 163</t>
  </si>
  <si>
    <t>DRG-164</t>
  </si>
  <si>
    <t>Drawing 164</t>
  </si>
  <si>
    <t>DRG-165</t>
  </si>
  <si>
    <t>Drawing 165</t>
  </si>
  <si>
    <t>DRG-166</t>
  </si>
  <si>
    <t>Drawing 166</t>
  </si>
  <si>
    <t>DRG-167</t>
  </si>
  <si>
    <t>Drawing 167</t>
  </si>
  <si>
    <t>DRG-168</t>
  </si>
  <si>
    <t>Drawing 168</t>
  </si>
  <si>
    <t>DRG-169</t>
  </si>
  <si>
    <t>Drawing 169</t>
  </si>
  <si>
    <t>DRG-170</t>
  </si>
  <si>
    <t>Drawing 170</t>
  </si>
  <si>
    <t>DRG-171</t>
  </si>
  <si>
    <t>Drawing 171</t>
  </si>
  <si>
    <t>DRG-172</t>
  </si>
  <si>
    <t>Drawing 172</t>
  </si>
  <si>
    <t>DRG-173</t>
  </si>
  <si>
    <t>Drawing 173</t>
  </si>
  <si>
    <t>DRG-174</t>
  </si>
  <si>
    <t>Drawing 174</t>
  </si>
  <si>
    <t>DRG-175</t>
  </si>
  <si>
    <t>Drawing 175</t>
  </si>
  <si>
    <t>DRG-176</t>
  </si>
  <si>
    <t>Drawing 176</t>
  </si>
  <si>
    <t>DRG-177</t>
  </si>
  <si>
    <t>Drawing 177</t>
  </si>
  <si>
    <t>DRG-178</t>
  </si>
  <si>
    <t>Drawing 178</t>
  </si>
  <si>
    <t>DRG-179</t>
  </si>
  <si>
    <t>Drawing 179</t>
  </si>
  <si>
    <t>DRG-180</t>
  </si>
  <si>
    <t>Drawing 180</t>
  </si>
  <si>
    <t>DRG-181</t>
  </si>
  <si>
    <t>Drawing 181</t>
  </si>
  <si>
    <t>DRG-182</t>
  </si>
  <si>
    <t>Drawing 182</t>
  </si>
  <si>
    <t>DRG-183</t>
  </si>
  <si>
    <t>Drawing 183</t>
  </si>
  <si>
    <t>DRG-184</t>
  </si>
  <si>
    <t>Drawing 184</t>
  </si>
  <si>
    <t>DRG-185</t>
  </si>
  <si>
    <t>Drawing 185</t>
  </si>
  <si>
    <t>DRG-186</t>
  </si>
  <si>
    <t>Drawing 186</t>
  </si>
  <si>
    <t>DRG-187</t>
  </si>
  <si>
    <t>Drawing 187</t>
  </si>
  <si>
    <t>DRG-188</t>
  </si>
  <si>
    <t>Drawing 188</t>
  </si>
  <si>
    <t>DRG-189</t>
  </si>
  <si>
    <t>Drawing 189</t>
  </si>
  <si>
    <t>DRG-190</t>
  </si>
  <si>
    <t>Drawing 190</t>
  </si>
  <si>
    <t>DRG-191</t>
  </si>
  <si>
    <t>Drawing 191</t>
  </si>
  <si>
    <t>DRG-192</t>
  </si>
  <si>
    <t>Drawing 192</t>
  </si>
  <si>
    <t>DRG-193</t>
  </si>
  <si>
    <t>Drawing 193</t>
  </si>
  <si>
    <t>DRG-194</t>
  </si>
  <si>
    <t>Drawing 194</t>
  </si>
  <si>
    <t>DRG-195</t>
  </si>
  <si>
    <t>Drawing 195</t>
  </si>
  <si>
    <t>DRG-196</t>
  </si>
  <si>
    <t>Drawing 196</t>
  </si>
  <si>
    <t>DRG-197</t>
  </si>
  <si>
    <t>Drawing 197</t>
  </si>
  <si>
    <t>DRG-198</t>
  </si>
  <si>
    <t>Drawing 198</t>
  </si>
  <si>
    <t>DRG-199</t>
  </si>
  <si>
    <t>Drawing 199</t>
  </si>
  <si>
    <t>DRG-200</t>
  </si>
  <si>
    <t>Drawing 200</t>
  </si>
  <si>
    <t>DRG-201</t>
  </si>
  <si>
    <t>Drawing 201</t>
  </si>
  <si>
    <t>DRG-202</t>
  </si>
  <si>
    <t>Drawing 202</t>
  </si>
  <si>
    <t>DRG-203</t>
  </si>
  <si>
    <t>Drawing 203</t>
  </si>
  <si>
    <t>DRG-204</t>
  </si>
  <si>
    <t>Drawing 204</t>
  </si>
  <si>
    <t>DRG-205</t>
  </si>
  <si>
    <t>Drawing 205</t>
  </si>
  <si>
    <t>DRG-206</t>
  </si>
  <si>
    <t>Drawing 206</t>
  </si>
  <si>
    <t>DRG-207</t>
  </si>
  <si>
    <t>Drawing 207</t>
  </si>
  <si>
    <t>DRG-208</t>
  </si>
  <si>
    <t>Drawing 208</t>
  </si>
  <si>
    <t>DRG-209</t>
  </si>
  <si>
    <t>Drawing 209</t>
  </si>
  <si>
    <t>DRG-210</t>
  </si>
  <si>
    <t>Drawing 210</t>
  </si>
  <si>
    <t>DRG-211</t>
  </si>
  <si>
    <t>Drawing 211</t>
  </si>
  <si>
    <t>DRG-212</t>
  </si>
  <si>
    <t>Drawing 212</t>
  </si>
  <si>
    <t>DRG-213</t>
  </si>
  <si>
    <t>Drawing 213</t>
  </si>
  <si>
    <t>DRG-214</t>
  </si>
  <si>
    <t>Drawing 214</t>
  </si>
  <si>
    <t>DRG-215</t>
  </si>
  <si>
    <t>Drawing 215</t>
  </si>
  <si>
    <t>DRG-216</t>
  </si>
  <si>
    <t>Drawing 216</t>
  </si>
  <si>
    <t>DRG-217</t>
  </si>
  <si>
    <t>Drawing 217</t>
  </si>
  <si>
    <t>DRG-218</t>
  </si>
  <si>
    <t>Drawing 218</t>
  </si>
  <si>
    <t>DRG-219</t>
  </si>
  <si>
    <t>Drawing 219</t>
  </si>
  <si>
    <t>DRG-220</t>
  </si>
  <si>
    <t>Drawing 220</t>
  </si>
  <si>
    <t>DRG-221</t>
  </si>
  <si>
    <t>Drawing 221</t>
  </si>
  <si>
    <t>DRG-222</t>
  </si>
  <si>
    <t>Drawing 222</t>
  </si>
  <si>
    <t>DRG-223</t>
  </si>
  <si>
    <t>Drawing 223</t>
  </si>
  <si>
    <t>DRG-224</t>
  </si>
  <si>
    <t>Drawing 224</t>
  </si>
  <si>
    <t>DRG-225</t>
  </si>
  <si>
    <t>Drawing 225</t>
  </si>
  <si>
    <t>DRG-226</t>
  </si>
  <si>
    <t>Drawing 226</t>
  </si>
  <si>
    <t>DRG-227</t>
  </si>
  <si>
    <t>Drawing 227</t>
  </si>
  <si>
    <t>DRG-228</t>
  </si>
  <si>
    <t>Drawing 228</t>
  </si>
  <si>
    <t>DRG-229</t>
  </si>
  <si>
    <t>Drawing 229</t>
  </si>
  <si>
    <t>DRG-230</t>
  </si>
  <si>
    <t>Drawing 230</t>
  </si>
  <si>
    <t>DRG-231</t>
  </si>
  <si>
    <t>Drawing 231</t>
  </si>
  <si>
    <t>DRG-232</t>
  </si>
  <si>
    <t>Drawing 232</t>
  </si>
  <si>
    <t>DRG-233</t>
  </si>
  <si>
    <t>Drawing 233</t>
  </si>
  <si>
    <t>DRG-234</t>
  </si>
  <si>
    <t>Drawing 234</t>
  </si>
  <si>
    <t>DRG-235</t>
  </si>
  <si>
    <t>Drawing 235</t>
  </si>
  <si>
    <t>DRG-236</t>
  </si>
  <si>
    <t>Drawing 236</t>
  </si>
  <si>
    <t>DRG-237</t>
  </si>
  <si>
    <t>Drawing 237</t>
  </si>
  <si>
    <t>DRG-238</t>
  </si>
  <si>
    <t>Drawing 238</t>
  </si>
  <si>
    <t>DRG-239</t>
  </si>
  <si>
    <t>Drawing 239</t>
  </si>
  <si>
    <t>DRG-240</t>
  </si>
  <si>
    <t>Drawing 240</t>
  </si>
  <si>
    <t>DRG-241</t>
  </si>
  <si>
    <t>Drawing 241</t>
  </si>
  <si>
    <t>DRG-242</t>
  </si>
  <si>
    <t>Drawing 242</t>
  </si>
  <si>
    <t>DRG-243</t>
  </si>
  <si>
    <t>Drawing 243</t>
  </si>
  <si>
    <t>DRG-244</t>
  </si>
  <si>
    <t>Drawing 244</t>
  </si>
  <si>
    <t>DRG-245</t>
  </si>
  <si>
    <t>Drawing 245</t>
  </si>
  <si>
    <t>DRG-246</t>
  </si>
  <si>
    <t>Drawing 246</t>
  </si>
  <si>
    <t>DRG-247</t>
  </si>
  <si>
    <t>Drawing 247</t>
  </si>
  <si>
    <t>DRG-248</t>
  </si>
  <si>
    <t>Drawing 248</t>
  </si>
  <si>
    <t>DRG-249</t>
  </si>
  <si>
    <t>Drawing 249</t>
  </si>
  <si>
    <t>DRG-250</t>
  </si>
  <si>
    <t>Drawing 250</t>
  </si>
  <si>
    <t>DRG-251</t>
  </si>
  <si>
    <t>Drawing 251</t>
  </si>
  <si>
    <t>DRG-252</t>
  </si>
  <si>
    <t>Drawing 252</t>
  </si>
  <si>
    <t>DRG-253</t>
  </si>
  <si>
    <t>Drawing 253</t>
  </si>
  <si>
    <t>DRG-254</t>
  </si>
  <si>
    <t>Drawing 254</t>
  </si>
  <si>
    <t>DRG-255</t>
  </si>
  <si>
    <t>Drawing 255</t>
  </si>
  <si>
    <t>DRG-256</t>
  </si>
  <si>
    <t>Drawing 256</t>
  </si>
  <si>
    <t>DRG-257</t>
  </si>
  <si>
    <t>Drawing 257</t>
  </si>
  <si>
    <t>DRG-258</t>
  </si>
  <si>
    <t>Drawing 258</t>
  </si>
  <si>
    <t>DRG-259</t>
  </si>
  <si>
    <t>Drawing 259</t>
  </si>
  <si>
    <t>DRG-260</t>
  </si>
  <si>
    <t>Drawing 260</t>
  </si>
  <si>
    <t>DRG-261</t>
  </si>
  <si>
    <t>Drawing 261</t>
  </si>
  <si>
    <t>DRG-262</t>
  </si>
  <si>
    <t>Drawing 262</t>
  </si>
  <si>
    <t>DRG-263</t>
  </si>
  <si>
    <t>Drawing 263</t>
  </si>
  <si>
    <t>DRG-264</t>
  </si>
  <si>
    <t>Drawing 264</t>
  </si>
  <si>
    <t>DRG-265</t>
  </si>
  <si>
    <t>Drawing 265</t>
  </si>
  <si>
    <t>DRG-266</t>
  </si>
  <si>
    <t>Drawing 266</t>
  </si>
  <si>
    <t>DRG-267</t>
  </si>
  <si>
    <t>Drawing 267</t>
  </si>
  <si>
    <t>DRG-268</t>
  </si>
  <si>
    <t>Drawing 268</t>
  </si>
  <si>
    <t>DRG-269</t>
  </si>
  <si>
    <t>Drawing 269</t>
  </si>
  <si>
    <t>DRG-270</t>
  </si>
  <si>
    <t>Drawing 270</t>
  </si>
  <si>
    <t>DRG-271</t>
  </si>
  <si>
    <t>Drawing 271</t>
  </si>
  <si>
    <t>DRG-272</t>
  </si>
  <si>
    <t>Drawing 272</t>
  </si>
  <si>
    <t>DRG-273</t>
  </si>
  <si>
    <t>Drawing 273</t>
  </si>
  <si>
    <t>DRG-274</t>
  </si>
  <si>
    <t>Drawing 274</t>
  </si>
  <si>
    <t>DRG-275</t>
  </si>
  <si>
    <t>Drawing 275</t>
  </si>
  <si>
    <t>DRG-276</t>
  </si>
  <si>
    <t>Drawing 276</t>
  </si>
  <si>
    <t>DRG-277</t>
  </si>
  <si>
    <t>Drawing 277</t>
  </si>
  <si>
    <t>DRG-278</t>
  </si>
  <si>
    <t>Drawing 278</t>
  </si>
  <si>
    <t>DRG-279</t>
  </si>
  <si>
    <t>Drawing 279</t>
  </si>
  <si>
    <t>DRG-280</t>
  </si>
  <si>
    <t>Drawing 280</t>
  </si>
  <si>
    <t>DRG-281</t>
  </si>
  <si>
    <t>Drawing 281</t>
  </si>
  <si>
    <t>DRG-282</t>
  </si>
  <si>
    <t>Drawing 282</t>
  </si>
  <si>
    <t>DRG-283</t>
  </si>
  <si>
    <t>Drawing 283</t>
  </si>
  <si>
    <t>DRG-284</t>
  </si>
  <si>
    <t>Drawing 284</t>
  </si>
  <si>
    <t>DRG-285</t>
  </si>
  <si>
    <t>Drawing 285</t>
  </si>
  <si>
    <t>DRG-286</t>
  </si>
  <si>
    <t>Drawing 286</t>
  </si>
  <si>
    <t>DRG-287</t>
  </si>
  <si>
    <t>Drawing 287</t>
  </si>
  <si>
    <t>DRG-288</t>
  </si>
  <si>
    <t>Drawing 288</t>
  </si>
  <si>
    <t>DRG-289</t>
  </si>
  <si>
    <t>Drawing 289</t>
  </si>
  <si>
    <t>DRG-290</t>
  </si>
  <si>
    <t>Drawing 290</t>
  </si>
  <si>
    <t>DRG-291</t>
  </si>
  <si>
    <t>Drawing 291</t>
  </si>
  <si>
    <t>DRG-292</t>
  </si>
  <si>
    <t>Drawing 292</t>
  </si>
  <si>
    <t>DRG-293</t>
  </si>
  <si>
    <t>Drawing 293</t>
  </si>
  <si>
    <t>DRG-294</t>
  </si>
  <si>
    <t>Drawing 294</t>
  </si>
  <si>
    <t>DRG-295</t>
  </si>
  <si>
    <t>Drawing 295</t>
  </si>
  <si>
    <t>DRG-296</t>
  </si>
  <si>
    <t>Drawing 296</t>
  </si>
  <si>
    <t>DRG-297</t>
  </si>
  <si>
    <t>Drawing 297</t>
  </si>
  <si>
    <t>DRG-298</t>
  </si>
  <si>
    <t>Drawing 298</t>
  </si>
  <si>
    <t>DRG-299</t>
  </si>
  <si>
    <t>Drawing 299</t>
  </si>
  <si>
    <t>DRG-300</t>
  </si>
  <si>
    <t>Drawing 300</t>
  </si>
  <si>
    <t>DRG-301</t>
  </si>
  <si>
    <t>Drawing 301</t>
  </si>
  <si>
    <t>DRG-302</t>
  </si>
  <si>
    <t>Drawing 302</t>
  </si>
  <si>
    <t>DRG-303</t>
  </si>
  <si>
    <t>Drawing 303</t>
  </si>
  <si>
    <t>DRG-304</t>
  </si>
  <si>
    <t>Drawing 304</t>
  </si>
  <si>
    <t>DRG-305</t>
  </si>
  <si>
    <t>Drawing 305</t>
  </si>
  <si>
    <t>DRG-306</t>
  </si>
  <si>
    <t>Drawing 306</t>
  </si>
  <si>
    <t>DRG-307</t>
  </si>
  <si>
    <t>Drawing 307</t>
  </si>
  <si>
    <t>DRG-308</t>
  </si>
  <si>
    <t>Drawing 308</t>
  </si>
  <si>
    <t>DRG-309</t>
  </si>
  <si>
    <t>Drawing 309</t>
  </si>
  <si>
    <t>DRG-310</t>
  </si>
  <si>
    <t>Drawing 310</t>
  </si>
  <si>
    <t>DRG-311</t>
  </si>
  <si>
    <t>Drawing 311</t>
  </si>
  <si>
    <t>DRG-312</t>
  </si>
  <si>
    <t>Drawing 312</t>
  </si>
  <si>
    <t>DRG-313</t>
  </si>
  <si>
    <t>Drawing 313</t>
  </si>
  <si>
    <t>DRG-314</t>
  </si>
  <si>
    <t>Drawing 314</t>
  </si>
  <si>
    <t>DRG-315</t>
  </si>
  <si>
    <t>Drawing 315</t>
  </si>
  <si>
    <t>DRG-316</t>
  </si>
  <si>
    <t>Drawing 316</t>
  </si>
  <si>
    <t>DRG-317</t>
  </si>
  <si>
    <t>Drawing 317</t>
  </si>
  <si>
    <t>DRG-318</t>
  </si>
  <si>
    <t>Drawing 318</t>
  </si>
  <si>
    <t>DRG-319</t>
  </si>
  <si>
    <t>Drawing 319</t>
  </si>
  <si>
    <t>DRG-320</t>
  </si>
  <si>
    <t>Drawing 320</t>
  </si>
  <si>
    <t>DRG-321</t>
  </si>
  <si>
    <t>Drawing 321</t>
  </si>
  <si>
    <t>DRG-322</t>
  </si>
  <si>
    <t>Drawing 322</t>
  </si>
  <si>
    <t>DRG-323</t>
  </si>
  <si>
    <t>Drawing 323</t>
  </si>
  <si>
    <t>DRG-324</t>
  </si>
  <si>
    <t>Drawing 324</t>
  </si>
  <si>
    <t>DRG-325</t>
  </si>
  <si>
    <t>Drawing 325</t>
  </si>
  <si>
    <t>DRG-326</t>
  </si>
  <si>
    <t>Drawing 326</t>
  </si>
  <si>
    <t>DRG-327</t>
  </si>
  <si>
    <t>Drawing 327</t>
  </si>
  <si>
    <t>DRG-328</t>
  </si>
  <si>
    <t>Drawing 328</t>
  </si>
  <si>
    <t>DRG-329</t>
  </si>
  <si>
    <t>Drawing 329</t>
  </si>
  <si>
    <t>DRG-330</t>
  </si>
  <si>
    <t>Drawing 330</t>
  </si>
  <si>
    <t>DRG-331</t>
  </si>
  <si>
    <t>Drawing 331</t>
  </si>
  <si>
    <t>DRG-332</t>
  </si>
  <si>
    <t>Drawing 332</t>
  </si>
  <si>
    <t>DRG-333</t>
  </si>
  <si>
    <t>Drawing 333</t>
  </si>
  <si>
    <t>DRG-334</t>
  </si>
  <si>
    <t>Drawing 334</t>
  </si>
  <si>
    <t>DRG-335</t>
  </si>
  <si>
    <t>Drawing 335</t>
  </si>
  <si>
    <t>DRG-336</t>
  </si>
  <si>
    <t>Drawing 336</t>
  </si>
  <si>
    <t>DRG-337</t>
  </si>
  <si>
    <t>Drawing 337</t>
  </si>
  <si>
    <t>DRG-338</t>
  </si>
  <si>
    <t>Drawing 338</t>
  </si>
  <si>
    <t>DRG-339</t>
  </si>
  <si>
    <t>Drawing 339</t>
  </si>
  <si>
    <t>DRG-340</t>
  </si>
  <si>
    <t>Drawing 340</t>
  </si>
  <si>
    <t>DRG-341</t>
  </si>
  <si>
    <t>Drawing 341</t>
  </si>
  <si>
    <t>DRG-342</t>
  </si>
  <si>
    <t>Drawing 342</t>
  </si>
  <si>
    <t>DRG-343</t>
  </si>
  <si>
    <t>Drawing 343</t>
  </si>
  <si>
    <t>DRG-344</t>
  </si>
  <si>
    <t>Drawing 344</t>
  </si>
  <si>
    <t>DRG-345</t>
  </si>
  <si>
    <t>Drawing 345</t>
  </si>
  <si>
    <t>DRG-346</t>
  </si>
  <si>
    <t>Drawing 346</t>
  </si>
  <si>
    <t>DRG-347</t>
  </si>
  <si>
    <t>Drawing 347</t>
  </si>
  <si>
    <t>DRG-348</t>
  </si>
  <si>
    <t>Drawing 348</t>
  </si>
  <si>
    <t>DRG-349</t>
  </si>
  <si>
    <t>Drawing 349</t>
  </si>
  <si>
    <t>DRG-350</t>
  </si>
  <si>
    <t>Drawing 350</t>
  </si>
  <si>
    <t>DRG-351</t>
  </si>
  <si>
    <t>Drawing 351</t>
  </si>
  <si>
    <t>DRG-352</t>
  </si>
  <si>
    <t>Drawing 352</t>
  </si>
  <si>
    <t>DRG-353</t>
  </si>
  <si>
    <t>Drawing 353</t>
  </si>
  <si>
    <t>DRG-354</t>
  </si>
  <si>
    <t>Drawing 354</t>
  </si>
  <si>
    <t>DRG-355</t>
  </si>
  <si>
    <t>Drawing 355</t>
  </si>
  <si>
    <t>DRG-356</t>
  </si>
  <si>
    <t>Drawing 356</t>
  </si>
  <si>
    <t>DRG-357</t>
  </si>
  <si>
    <t>Drawing 357</t>
  </si>
  <si>
    <t>DRG-358</t>
  </si>
  <si>
    <t>Drawing 358</t>
  </si>
  <si>
    <t>DRG-359</t>
  </si>
  <si>
    <t>Drawing 359</t>
  </si>
  <si>
    <t>DRG-360</t>
  </si>
  <si>
    <t>Drawing 360</t>
  </si>
  <si>
    <t>DRG-361</t>
  </si>
  <si>
    <t>Drawing 361</t>
  </si>
  <si>
    <t>DRG-362</t>
  </si>
  <si>
    <t>Drawing 362</t>
  </si>
  <si>
    <t>DRG-363</t>
  </si>
  <si>
    <t>Drawing 363</t>
  </si>
  <si>
    <t>DRG-364</t>
  </si>
  <si>
    <t>Drawing 364</t>
  </si>
  <si>
    <t>DRG-365</t>
  </si>
  <si>
    <t>Drawing 365</t>
  </si>
  <si>
    <t>DRG-366</t>
  </si>
  <si>
    <t>Drawing 366</t>
  </si>
  <si>
    <t>DRG-367</t>
  </si>
  <si>
    <t>Drawing 367</t>
  </si>
  <si>
    <t>DRG-368</t>
  </si>
  <si>
    <t>Drawing 368</t>
  </si>
  <si>
    <t>DRG-369</t>
  </si>
  <si>
    <t>Drawing 369</t>
  </si>
  <si>
    <t>DRG-370</t>
  </si>
  <si>
    <t>Drawing 370</t>
  </si>
  <si>
    <t>DRG-371</t>
  </si>
  <si>
    <t>Drawing 371</t>
  </si>
  <si>
    <t>DRG-372</t>
  </si>
  <si>
    <t>Drawing 372</t>
  </si>
  <si>
    <t>DRG-373</t>
  </si>
  <si>
    <t>Drawing 373</t>
  </si>
  <si>
    <t>DRG-374</t>
  </si>
  <si>
    <t>Drawing 374</t>
  </si>
  <si>
    <t>DRG-375</t>
  </si>
  <si>
    <t>Drawing 375</t>
  </si>
  <si>
    <t>DRG-376</t>
  </si>
  <si>
    <t>Drawing 376</t>
  </si>
  <si>
    <t>DRG-377</t>
  </si>
  <si>
    <t>Drawing 377</t>
  </si>
  <si>
    <t>DRG-378</t>
  </si>
  <si>
    <t>Drawing 378</t>
  </si>
  <si>
    <t>DRG-379</t>
  </si>
  <si>
    <t>Drawing 379</t>
  </si>
  <si>
    <t>DRG-380</t>
  </si>
  <si>
    <t>Drawing 380</t>
  </si>
  <si>
    <t>DRG-381</t>
  </si>
  <si>
    <t>Drawing 381</t>
  </si>
  <si>
    <t>DRG-382</t>
  </si>
  <si>
    <t>Drawing 382</t>
  </si>
  <si>
    <t>DRG-383</t>
  </si>
  <si>
    <t>Drawing 383</t>
  </si>
  <si>
    <t>DRG-384</t>
  </si>
  <si>
    <t>Drawing 384</t>
  </si>
  <si>
    <t>DRG-385</t>
  </si>
  <si>
    <t>Drawing 385</t>
  </si>
  <si>
    <t>DRG-386</t>
  </si>
  <si>
    <t>Drawing 386</t>
  </si>
  <si>
    <t>DRG-387</t>
  </si>
  <si>
    <t>Drawing 387</t>
  </si>
  <si>
    <t>DRG-388</t>
  </si>
  <si>
    <t>Drawing 388</t>
  </si>
  <si>
    <t>DRG-389</t>
  </si>
  <si>
    <t>Drawing 389</t>
  </si>
  <si>
    <t>DRG-390</t>
  </si>
  <si>
    <t>Drawing 390</t>
  </si>
  <si>
    <t>DRG-391</t>
  </si>
  <si>
    <t>Drawing 391</t>
  </si>
  <si>
    <t>DRG-392</t>
  </si>
  <si>
    <t>Drawing 392</t>
  </si>
  <si>
    <t>DRG-393</t>
  </si>
  <si>
    <t>Drawing 393</t>
  </si>
  <si>
    <t>DRG-394</t>
  </si>
  <si>
    <t>Drawing 394</t>
  </si>
  <si>
    <t>DRG-395</t>
  </si>
  <si>
    <t>Drawing 395</t>
  </si>
  <si>
    <t>DRG-396</t>
  </si>
  <si>
    <t>Drawing 396</t>
  </si>
  <si>
    <t>DRG-397</t>
  </si>
  <si>
    <t>Drawing 397</t>
  </si>
  <si>
    <t>DRG-398</t>
  </si>
  <si>
    <t>Drawing 398</t>
  </si>
  <si>
    <t>DRG-399</t>
  </si>
  <si>
    <t>Drawing 399</t>
  </si>
  <si>
    <t>DRG-400</t>
  </si>
  <si>
    <t>Drawing 400</t>
  </si>
  <si>
    <t>DRG-401</t>
  </si>
  <si>
    <t>Drawing 401</t>
  </si>
  <si>
    <t>DRG-402</t>
  </si>
  <si>
    <t>Drawing 402</t>
  </si>
  <si>
    <t>DRG-403</t>
  </si>
  <si>
    <t>Drawing 403</t>
  </si>
  <si>
    <t>DRG-404</t>
  </si>
  <si>
    <t>Drawing 404</t>
  </si>
  <si>
    <t>DRG-405</t>
  </si>
  <si>
    <t>Drawing 405</t>
  </si>
  <si>
    <t>DRG-406</t>
  </si>
  <si>
    <t>Drawing 406</t>
  </si>
  <si>
    <t>DRG-407</t>
  </si>
  <si>
    <t>Drawing 407</t>
  </si>
  <si>
    <t>DRG-408</t>
  </si>
  <si>
    <t>Drawing 408</t>
  </si>
  <si>
    <t>DRG-409</t>
  </si>
  <si>
    <t>Drawing 409</t>
  </si>
  <si>
    <t>DRG-410</t>
  </si>
  <si>
    <t>Drawing 410</t>
  </si>
  <si>
    <t>DRG-411</t>
  </si>
  <si>
    <t>Drawing 411</t>
  </si>
  <si>
    <t>DRG-412</t>
  </si>
  <si>
    <t>Drawing 412</t>
  </si>
  <si>
    <t>DRG-413</t>
  </si>
  <si>
    <t>Drawing 413</t>
  </si>
  <si>
    <t>DRG-414</t>
  </si>
  <si>
    <t>Drawing 414</t>
  </si>
  <si>
    <t>DRG-415</t>
  </si>
  <si>
    <t>Drawing 415</t>
  </si>
  <si>
    <t>DRG-416</t>
  </si>
  <si>
    <t>Drawing 416</t>
  </si>
  <si>
    <t>DRG-417</t>
  </si>
  <si>
    <t>Drawing 417</t>
  </si>
  <si>
    <t>DRG-418</t>
  </si>
  <si>
    <t>Drawing 418</t>
  </si>
  <si>
    <t>DRG-419</t>
  </si>
  <si>
    <t>Drawing 419</t>
  </si>
  <si>
    <t>DRG-420</t>
  </si>
  <si>
    <t>Drawing 420</t>
  </si>
  <si>
    <t>DRG-421</t>
  </si>
  <si>
    <t>Drawing 421</t>
  </si>
  <si>
    <t>DRG-422</t>
  </si>
  <si>
    <t>Drawing 422</t>
  </si>
  <si>
    <t>DRG-423</t>
  </si>
  <si>
    <t>Drawing 423</t>
  </si>
  <si>
    <t>DRG-424</t>
  </si>
  <si>
    <t>Drawing 424</t>
  </si>
  <si>
    <t>DRG-425</t>
  </si>
  <si>
    <t>Drawing 425</t>
  </si>
  <si>
    <t>DRG-426</t>
  </si>
  <si>
    <t>Drawing 426</t>
  </si>
  <si>
    <t>DRG-427</t>
  </si>
  <si>
    <t>Drawing 427</t>
  </si>
  <si>
    <t>DRG-428</t>
  </si>
  <si>
    <t>Drawing 428</t>
  </si>
  <si>
    <t>DRG-429</t>
  </si>
  <si>
    <t>Drawing 429</t>
  </si>
  <si>
    <t>DRG-430</t>
  </si>
  <si>
    <t>Drawing 430</t>
  </si>
  <si>
    <t>DRG-431</t>
  </si>
  <si>
    <t>Drawing 431</t>
  </si>
  <si>
    <t>DRG-432</t>
  </si>
  <si>
    <t>Drawing 432</t>
  </si>
  <si>
    <t>DRG-433</t>
  </si>
  <si>
    <t>Drawing 433</t>
  </si>
  <si>
    <t>DRG-434</t>
  </si>
  <si>
    <t>Drawing 434</t>
  </si>
  <si>
    <t>DRG-435</t>
  </si>
  <si>
    <t>Drawing 435</t>
  </si>
  <si>
    <t>DRG-436</t>
  </si>
  <si>
    <t>Drawing 436</t>
  </si>
  <si>
    <t>DRG-437</t>
  </si>
  <si>
    <t>Drawing 437</t>
  </si>
  <si>
    <t>DRG-438</t>
  </si>
  <si>
    <t>Drawing 438</t>
  </si>
  <si>
    <t>DRG-439</t>
  </si>
  <si>
    <t>Drawing 439</t>
  </si>
  <si>
    <t>DRG-440</t>
  </si>
  <si>
    <t>Drawing 440</t>
  </si>
  <si>
    <t>DRG-441</t>
  </si>
  <si>
    <t>Drawing 441</t>
  </si>
  <si>
    <t>DRG-442</t>
  </si>
  <si>
    <t>Drawing 442</t>
  </si>
  <si>
    <t>DRG-443</t>
  </si>
  <si>
    <t>Drawing 443</t>
  </si>
  <si>
    <t>DRG-444</t>
  </si>
  <si>
    <t>Drawing 444</t>
  </si>
  <si>
    <t>DRG-445</t>
  </si>
  <si>
    <t>Drawing 445</t>
  </si>
  <si>
    <t>DRG-446</t>
  </si>
  <si>
    <t>Drawing 446</t>
  </si>
  <si>
    <t>DRG-447</t>
  </si>
  <si>
    <t>Drawing 447</t>
  </si>
  <si>
    <t>DRG-448</t>
  </si>
  <si>
    <t>Drawing 448</t>
  </si>
  <si>
    <t>DRG-449</t>
  </si>
  <si>
    <t>Drawing 449</t>
  </si>
  <si>
    <t>DRG-450</t>
  </si>
  <si>
    <t>Drawing 450</t>
  </si>
  <si>
    <t>DRG-451</t>
  </si>
  <si>
    <t>Drawing 451</t>
  </si>
  <si>
    <t>DRG-452</t>
  </si>
  <si>
    <t>Drawing 452</t>
  </si>
  <si>
    <t>DRG-453</t>
  </si>
  <si>
    <t>Drawing 453</t>
  </si>
  <si>
    <t>DRG-454</t>
  </si>
  <si>
    <t>Drawing 454</t>
  </si>
  <si>
    <t>DRG-455</t>
  </si>
  <si>
    <t>Drawing 455</t>
  </si>
  <si>
    <t>DRG-456</t>
  </si>
  <si>
    <t>Drawing 456</t>
  </si>
  <si>
    <t>DRG-457</t>
  </si>
  <si>
    <t>Drawing 457</t>
  </si>
  <si>
    <t>DRG-458</t>
  </si>
  <si>
    <t>Drawing 458</t>
  </si>
  <si>
    <t>DRG-459</t>
  </si>
  <si>
    <t>Drawing 459</t>
  </si>
  <si>
    <t>DRG-460</t>
  </si>
  <si>
    <t>Drawing 460</t>
  </si>
  <si>
    <t>DRG-461</t>
  </si>
  <si>
    <t>Drawing 461</t>
  </si>
  <si>
    <t>DRG-462</t>
  </si>
  <si>
    <t>Drawing 462</t>
  </si>
  <si>
    <t>DRG-463</t>
  </si>
  <si>
    <t>Drawing 463</t>
  </si>
  <si>
    <t>DRG-464</t>
  </si>
  <si>
    <t>Drawing 464</t>
  </si>
  <si>
    <t>DRG-465</t>
  </si>
  <si>
    <t>Drawing 465</t>
  </si>
  <si>
    <t>DRG-466</t>
  </si>
  <si>
    <t>Drawing 466</t>
  </si>
  <si>
    <t>DRG-467</t>
  </si>
  <si>
    <t>Drawing 467</t>
  </si>
  <si>
    <t>DRG-468</t>
  </si>
  <si>
    <t>Drawing 468</t>
  </si>
  <si>
    <t>DRG-469</t>
  </si>
  <si>
    <t>Drawing 469</t>
  </si>
  <si>
    <t>DRG-470</t>
  </si>
  <si>
    <t>Drawing 470</t>
  </si>
  <si>
    <t>DRG-471</t>
  </si>
  <si>
    <t>Drawing 471</t>
  </si>
  <si>
    <t>DRG-472</t>
  </si>
  <si>
    <t>Drawing 472</t>
  </si>
  <si>
    <t>DRG-473</t>
  </si>
  <si>
    <t>Drawing 473</t>
  </si>
  <si>
    <t>DRG-474</t>
  </si>
  <si>
    <t>Drawing 474</t>
  </si>
  <si>
    <t>DRG-475</t>
  </si>
  <si>
    <t>Drawing 475</t>
  </si>
  <si>
    <t>DRG-476</t>
  </si>
  <si>
    <t>Drawing 476</t>
  </si>
  <si>
    <t>DRG-477</t>
  </si>
  <si>
    <t>Drawing 477</t>
  </si>
  <si>
    <t>DRG-478</t>
  </si>
  <si>
    <t>Drawing 478</t>
  </si>
  <si>
    <t>DRG-479</t>
  </si>
  <si>
    <t>Drawing 479</t>
  </si>
  <si>
    <t>DRG-480</t>
  </si>
  <si>
    <t>Drawing 480</t>
  </si>
  <si>
    <t>DRG-481</t>
  </si>
  <si>
    <t>Drawing 481</t>
  </si>
  <si>
    <t>DRG-482</t>
  </si>
  <si>
    <t>Drawing 482</t>
  </si>
  <si>
    <t>DRG-483</t>
  </si>
  <si>
    <t>Drawing 483</t>
  </si>
  <si>
    <t>DRG-484</t>
  </si>
  <si>
    <t>Drawing 484</t>
  </si>
  <si>
    <t>DRG-485</t>
  </si>
  <si>
    <t>Drawing 485</t>
  </si>
  <si>
    <t>DRG-486</t>
  </si>
  <si>
    <t>Drawing 486</t>
  </si>
  <si>
    <t>DRG-487</t>
  </si>
  <si>
    <t>Drawing 487</t>
  </si>
  <si>
    <t>DRG-488</t>
  </si>
  <si>
    <t>Drawing 488</t>
  </si>
  <si>
    <t>DRG-489</t>
  </si>
  <si>
    <t>Drawing 489</t>
  </si>
  <si>
    <t>DRG-490</t>
  </si>
  <si>
    <t>Drawing 490</t>
  </si>
  <si>
    <t>DRG-491</t>
  </si>
  <si>
    <t>Drawing 491</t>
  </si>
  <si>
    <t>DRG-492</t>
  </si>
  <si>
    <t>Drawing 492</t>
  </si>
  <si>
    <t>DRG-493</t>
  </si>
  <si>
    <t>Drawing 493</t>
  </si>
  <si>
    <t>DRG-494</t>
  </si>
  <si>
    <t>Drawing 494</t>
  </si>
  <si>
    <t>DRG-495</t>
  </si>
  <si>
    <t>Drawing 495</t>
  </si>
  <si>
    <t>DRG-496</t>
  </si>
  <si>
    <t>Drawing 496</t>
  </si>
  <si>
    <t>DRG-497</t>
  </si>
  <si>
    <t>Drawing 497</t>
  </si>
  <si>
    <t>DRG-498</t>
  </si>
  <si>
    <t>Drawing 498</t>
  </si>
  <si>
    <t>DRG-499</t>
  </si>
  <si>
    <t>Drawing 499</t>
  </si>
  <si>
    <t>DRG-500</t>
  </si>
  <si>
    <t>Drawing 500</t>
  </si>
  <si>
    <t>Total Documents</t>
  </si>
  <si>
    <t>Documents Pending Approval</t>
  </si>
  <si>
    <t>Documents Overdue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</si>
</sst>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6">
    <xf numFmtId="0" fontId="0" fillId="0" borderId="0" xfId="0"/>
    <xf numFmtId="164" fontId="0" fillId="0" borderId="0" xfId="0" applyNumberFormat="1"/>
    <xf numFmtId="0" fontId="0" fillId="0" borderId="0" xfId="0" pivotButton="1"/>
    <xf numFmtId="0" fontId="0" fillId="0" borderId="0" xfId="0" applyAlignment="1">
      <alignment horizontal="left"/>
    </xf>
    <xf numFmtId="0" fontId="1" fillId="0" borderId="1" xfId="0" applyFont="1" applyBorder="1" applyAlignment="1">
      <alignment horizontal="center" vertical="top"/>
    </xf>
    <xf numFmtId="0" fontId="0" fillId="2" borderId="0" xfId="0" applyFill="1"/>
  </cellXfs>
  <cellStyles count="1">
    <cellStyle name="Normal" xfId="0" builtinId="0"/>
  </cellStyles>
  <dxfs count="5">
    <dxf>
      <numFmt numFmtId="164" formatCode="yyyy\-mm\-dd"/>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[ABC_Project_Document_Dashboard (Recovered).xlsx]Sheet2!PivotTable4</c:name>
    <c:fmtId val="1"/>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Sheet2!$A$4:$A$9</c:f>
              <c:strCache>
                <c:ptCount val="5"/>
                <c:pt idx="0">
                  <c:v>Approved</c:v>
                </c:pt>
                <c:pt idx="1">
                  <c:v>For Review</c:v>
                </c:pt>
                <c:pt idx="2">
                  <c:v>Issued for Construction</c:v>
                </c:pt>
                <c:pt idx="3">
                  <c:v>Pending</c:v>
                </c:pt>
                <c:pt idx="4">
                  <c:v>Rejected</c:v>
                </c:pt>
              </c:strCache>
            </c:strRef>
          </c:cat>
          <c:val>
            <c:numRef>
              <c:f>Sheet2!$B$4:$B$9</c:f>
              <c:numCache>
                <c:formatCode>General</c:formatCode>
                <c:ptCount val="5"/>
                <c:pt idx="0">
                  <c:v>93</c:v>
                </c:pt>
                <c:pt idx="1">
                  <c:v>101</c:v>
                </c:pt>
                <c:pt idx="2">
                  <c:v>85</c:v>
                </c:pt>
                <c:pt idx="3">
                  <c:v>107</c:v>
                </c:pt>
                <c:pt idx="4">
                  <c:v>114</c:v>
                </c:pt>
              </c:numCache>
            </c:numRef>
          </c:val>
          <c:extLst>
            <c:ext xmlns:c16="http://schemas.microsoft.com/office/drawing/2014/chart" uri="{C3380CC4-5D6E-409C-BE32-E72D297353CC}">
              <c16:uniqueId val="{00000000-CA62-41BF-89E5-10B86F5F9CF1}"/>
            </c:ext>
          </c:extLst>
        </c:ser>
        <c:dLbls>
          <c:dLblPos val="inEnd"/>
          <c:showLegendKey val="0"/>
          <c:showVal val="1"/>
          <c:showCatName val="0"/>
          <c:showSerName val="0"/>
          <c:showPercent val="0"/>
          <c:showBubbleSize val="0"/>
        </c:dLbls>
        <c:gapWidth val="100"/>
        <c:overlap val="-24"/>
        <c:axId val="930518015"/>
        <c:axId val="1425474159"/>
      </c:barChart>
      <c:catAx>
        <c:axId val="9305180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5474159"/>
        <c:crosses val="autoZero"/>
        <c:auto val="1"/>
        <c:lblAlgn val="ctr"/>
        <c:lblOffset val="100"/>
        <c:noMultiLvlLbl val="0"/>
      </c:catAx>
      <c:valAx>
        <c:axId val="142547415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2"/>
                </a:solidFill>
                <a:latin typeface="+mn-lt"/>
                <a:ea typeface="+mn-ea"/>
                <a:cs typeface="+mn-cs"/>
              </a:defRPr>
            </a:pPr>
            <a:endParaRPr lang="en-US"/>
          </a:p>
        </c:txPr>
        <c:crossAx val="930518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[ABC_Project_Document_Dashboard (Recovered).xlsx]Sheet2!PivotTable5</c:name>
    <c:fmtId val="0"/>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Sheet2!$E$3:$E$4</c:f>
              <c:strCache>
                <c:ptCount val="1"/>
                <c:pt idx="0">
                  <c:v>Approved</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Sheet2!$D$5:$D$11</c:f>
              <c:strCache>
                <c:ptCount val="6"/>
                <c:pt idx="0">
                  <c:v>Architectural</c:v>
                </c:pt>
                <c:pt idx="1">
                  <c:v>Architecture</c:v>
                </c:pt>
                <c:pt idx="2">
                  <c:v>Civil</c:v>
                </c:pt>
                <c:pt idx="3">
                  <c:v>Electrical</c:v>
                </c:pt>
                <c:pt idx="4">
                  <c:v>Mechanical</c:v>
                </c:pt>
                <c:pt idx="5">
                  <c:v>Plumbing</c:v>
                </c:pt>
              </c:strCache>
            </c:strRef>
          </c:cat>
          <c:val>
            <c:numRef>
              <c:f>Sheet2!$E$5:$E$11</c:f>
              <c:numCache>
                <c:formatCode>General</c:formatCode>
                <c:ptCount val="6"/>
                <c:pt idx="0">
                  <c:v>2</c:v>
                </c:pt>
                <c:pt idx="1">
                  <c:v>16</c:v>
                </c:pt>
                <c:pt idx="2">
                  <c:v>23</c:v>
                </c:pt>
                <c:pt idx="3">
                  <c:v>16</c:v>
                </c:pt>
                <c:pt idx="4">
                  <c:v>21</c:v>
                </c:pt>
                <c:pt idx="5">
                  <c:v>15</c:v>
                </c:pt>
              </c:numCache>
            </c:numRef>
          </c:val>
          <c:extLst>
            <c:ext xmlns:c16="http://schemas.microsoft.com/office/drawing/2014/chart" uri="{C3380CC4-5D6E-409C-BE32-E72D297353CC}">
              <c16:uniqueId val="{00000000-8D7C-4B82-833A-F64040F7410E}"/>
            </c:ext>
          </c:extLst>
        </c:ser>
        <c:ser>
          <c:idx val="1"/>
          <c:order val="1"/>
          <c:tx>
            <c:strRef>
              <c:f>Sheet2!$F$3:$F$4</c:f>
              <c:strCache>
                <c:ptCount val="1"/>
                <c:pt idx="0">
                  <c:v>For Review</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Sheet2!$D$5:$D$11</c:f>
              <c:strCache>
                <c:ptCount val="6"/>
                <c:pt idx="0">
                  <c:v>Architectural</c:v>
                </c:pt>
                <c:pt idx="1">
                  <c:v>Architecture</c:v>
                </c:pt>
                <c:pt idx="2">
                  <c:v>Civil</c:v>
                </c:pt>
                <c:pt idx="3">
                  <c:v>Electrical</c:v>
                </c:pt>
                <c:pt idx="4">
                  <c:v>Mechanical</c:v>
                </c:pt>
                <c:pt idx="5">
                  <c:v>Plumbing</c:v>
                </c:pt>
              </c:strCache>
            </c:strRef>
          </c:cat>
          <c:val>
            <c:numRef>
              <c:f>Sheet2!$F$5:$F$11</c:f>
              <c:numCache>
                <c:formatCode>General</c:formatCode>
                <c:ptCount val="6"/>
                <c:pt idx="1">
                  <c:v>17</c:v>
                </c:pt>
                <c:pt idx="2">
                  <c:v>25</c:v>
                </c:pt>
                <c:pt idx="3">
                  <c:v>17</c:v>
                </c:pt>
                <c:pt idx="4">
                  <c:v>16</c:v>
                </c:pt>
                <c:pt idx="5">
                  <c:v>26</c:v>
                </c:pt>
              </c:numCache>
            </c:numRef>
          </c:val>
          <c:extLst>
            <c:ext xmlns:c16="http://schemas.microsoft.com/office/drawing/2014/chart" uri="{C3380CC4-5D6E-409C-BE32-E72D297353CC}">
              <c16:uniqueId val="{00000021-8D7C-4B82-833A-F64040F7410E}"/>
            </c:ext>
          </c:extLst>
        </c:ser>
        <c:ser>
          <c:idx val="2"/>
          <c:order val="2"/>
          <c:tx>
            <c:strRef>
              <c:f>Sheet2!$G$3:$G$4</c:f>
              <c:strCache>
                <c:ptCount val="1"/>
                <c:pt idx="0">
                  <c:v>Issued for Construction</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Sheet2!$D$5:$D$11</c:f>
              <c:strCache>
                <c:ptCount val="6"/>
                <c:pt idx="0">
                  <c:v>Architectural</c:v>
                </c:pt>
                <c:pt idx="1">
                  <c:v>Architecture</c:v>
                </c:pt>
                <c:pt idx="2">
                  <c:v>Civil</c:v>
                </c:pt>
                <c:pt idx="3">
                  <c:v>Electrical</c:v>
                </c:pt>
                <c:pt idx="4">
                  <c:v>Mechanical</c:v>
                </c:pt>
                <c:pt idx="5">
                  <c:v>Plumbing</c:v>
                </c:pt>
              </c:strCache>
            </c:strRef>
          </c:cat>
          <c:val>
            <c:numRef>
              <c:f>Sheet2!$G$5:$G$11</c:f>
              <c:numCache>
                <c:formatCode>General</c:formatCode>
                <c:ptCount val="6"/>
                <c:pt idx="1">
                  <c:v>17</c:v>
                </c:pt>
                <c:pt idx="2">
                  <c:v>17</c:v>
                </c:pt>
                <c:pt idx="3">
                  <c:v>16</c:v>
                </c:pt>
                <c:pt idx="4">
                  <c:v>14</c:v>
                </c:pt>
                <c:pt idx="5">
                  <c:v>21</c:v>
                </c:pt>
              </c:numCache>
            </c:numRef>
          </c:val>
          <c:extLst>
            <c:ext xmlns:c16="http://schemas.microsoft.com/office/drawing/2014/chart" uri="{C3380CC4-5D6E-409C-BE32-E72D297353CC}">
              <c16:uniqueId val="{00000022-8D7C-4B82-833A-F64040F7410E}"/>
            </c:ext>
          </c:extLst>
        </c:ser>
        <c:ser>
          <c:idx val="3"/>
          <c:order val="3"/>
          <c:tx>
            <c:strRef>
              <c:f>Sheet2!$H$3:$H$4</c:f>
              <c:strCache>
                <c:ptCount val="1"/>
                <c:pt idx="0">
                  <c:v>Pending</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Sheet2!$D$5:$D$11</c:f>
              <c:strCache>
                <c:ptCount val="6"/>
                <c:pt idx="0">
                  <c:v>Architectural</c:v>
                </c:pt>
                <c:pt idx="1">
                  <c:v>Architecture</c:v>
                </c:pt>
                <c:pt idx="2">
                  <c:v>Civil</c:v>
                </c:pt>
                <c:pt idx="3">
                  <c:v>Electrical</c:v>
                </c:pt>
                <c:pt idx="4">
                  <c:v>Mechanical</c:v>
                </c:pt>
                <c:pt idx="5">
                  <c:v>Plumbing</c:v>
                </c:pt>
              </c:strCache>
            </c:strRef>
          </c:cat>
          <c:val>
            <c:numRef>
              <c:f>Sheet2!$H$5:$H$11</c:f>
              <c:numCache>
                <c:formatCode>General</c:formatCode>
                <c:ptCount val="6"/>
                <c:pt idx="1">
                  <c:v>21</c:v>
                </c:pt>
                <c:pt idx="2">
                  <c:v>17</c:v>
                </c:pt>
                <c:pt idx="3">
                  <c:v>24</c:v>
                </c:pt>
                <c:pt idx="4">
                  <c:v>21</c:v>
                </c:pt>
                <c:pt idx="5">
                  <c:v>24</c:v>
                </c:pt>
              </c:numCache>
            </c:numRef>
          </c:val>
          <c:extLst>
            <c:ext xmlns:c16="http://schemas.microsoft.com/office/drawing/2014/chart" uri="{C3380CC4-5D6E-409C-BE32-E72D297353CC}">
              <c16:uniqueId val="{00000023-8D7C-4B82-833A-F64040F7410E}"/>
            </c:ext>
          </c:extLst>
        </c:ser>
        <c:ser>
          <c:idx val="4"/>
          <c:order val="4"/>
          <c:tx>
            <c:strRef>
              <c:f>Sheet2!$I$3:$I$4</c:f>
              <c:strCache>
                <c:ptCount val="1"/>
                <c:pt idx="0">
                  <c:v>Rejected</c:v>
                </c:pt>
              </c:strCache>
            </c:strRef>
          </c:tx>
          <c:spPr>
            <a:solidFill>
              <a:schemeClr val="accent5">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Sheet2!$D$5:$D$11</c:f>
              <c:strCache>
                <c:ptCount val="6"/>
                <c:pt idx="0">
                  <c:v>Architectural</c:v>
                </c:pt>
                <c:pt idx="1">
                  <c:v>Architecture</c:v>
                </c:pt>
                <c:pt idx="2">
                  <c:v>Civil</c:v>
                </c:pt>
                <c:pt idx="3">
                  <c:v>Electrical</c:v>
                </c:pt>
                <c:pt idx="4">
                  <c:v>Mechanical</c:v>
                </c:pt>
                <c:pt idx="5">
                  <c:v>Plumbing</c:v>
                </c:pt>
              </c:strCache>
            </c:strRef>
          </c:cat>
          <c:val>
            <c:numRef>
              <c:f>Sheet2!$I$5:$I$11</c:f>
              <c:numCache>
                <c:formatCode>General</c:formatCode>
                <c:ptCount val="6"/>
                <c:pt idx="0">
                  <c:v>2</c:v>
                </c:pt>
                <c:pt idx="1">
                  <c:v>20</c:v>
                </c:pt>
                <c:pt idx="2">
                  <c:v>24</c:v>
                </c:pt>
                <c:pt idx="3">
                  <c:v>28</c:v>
                </c:pt>
                <c:pt idx="4">
                  <c:v>20</c:v>
                </c:pt>
                <c:pt idx="5">
                  <c:v>20</c:v>
                </c:pt>
              </c:numCache>
            </c:numRef>
          </c:val>
          <c:extLst>
            <c:ext xmlns:c16="http://schemas.microsoft.com/office/drawing/2014/chart" uri="{C3380CC4-5D6E-409C-BE32-E72D297353CC}">
              <c16:uniqueId val="{00000024-8D7C-4B82-833A-F64040F7410E}"/>
            </c:ext>
          </c:extLst>
        </c:ser>
        <c:dLbls>
          <c:dLblPos val="inEnd"/>
          <c:showLegendKey val="0"/>
          <c:showVal val="1"/>
          <c:showCatName val="0"/>
          <c:showSerName val="0"/>
          <c:showPercent val="0"/>
          <c:showBubbleSize val="0"/>
        </c:dLbls>
        <c:gapWidth val="65"/>
        <c:axId val="1275682159"/>
        <c:axId val="1194571375"/>
      </c:barChart>
      <c:catAx>
        <c:axId val="127568215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94571375"/>
        <c:crosses val="autoZero"/>
        <c:auto val="1"/>
        <c:lblAlgn val="ctr"/>
        <c:lblOffset val="100"/>
        <c:noMultiLvlLbl val="0"/>
      </c:catAx>
      <c:valAx>
        <c:axId val="1194571375"/>
        <c:scaling>
          <c:orientation val="minMax"/>
        </c:scaling>
        <c:delete val="1"/>
        <c:axPos val="l"/>
        <c:numFmt formatCode="General" sourceLinked="1"/>
        <c:majorTickMark val="out"/>
        <c:minorTickMark val="none"/>
        <c:tickLblPos val="nextTo"/>
        <c:crossAx val="1275682159"/>
        <c:crosses val="autoZero"/>
        <c:crossBetween val="between"/>
      </c:valAx>
      <c:spPr>
        <a:noFill/>
        <a:ln>
          <a:noFill/>
        </a:ln>
        <a:effectLst/>
      </c:spPr>
    </c:plotArea>
    <c:legend>
      <c:legendPos val="b"/>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[ABC_Project_Document_Dashboard (Recovered).xlsx]Sheet2!PivotTable6</c:name>
    <c:fmtId val="0"/>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Sheet2!$M$3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3AB4-4C5F-8109-7AF6CC0B9817}"/>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3AB4-4C5F-8109-7AF6CC0B9817}"/>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3AB4-4C5F-8109-7AF6CC0B9817}"/>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3AB4-4C5F-8109-7AF6CC0B981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Sheet2!$L$4:$L$8</c:f>
              <c:strCache>
                <c:ptCount val="4"/>
                <c:pt idx="0">
                  <c:v>A</c:v>
                </c:pt>
                <c:pt idx="1">
                  <c:v>B</c:v>
                </c:pt>
                <c:pt idx="2">
                  <c:v>C</c:v>
                </c:pt>
                <c:pt idx="3">
                  <c:v>D</c:v>
                </c:pt>
              </c:strCache>
            </c:strRef>
          </c:cat>
          <c:val>
            <c:numRef>
              <c:f>Sheet2!$M$4:$M$8</c:f>
              <c:numCache>
                <c:formatCode>General</c:formatCode>
                <c:ptCount val="4"/>
                <c:pt idx="0">
                  <c:v>148</c:v>
                </c:pt>
                <c:pt idx="1">
                  <c:v>118</c:v>
                </c:pt>
                <c:pt idx="2">
                  <c:v>131</c:v>
                </c:pt>
                <c:pt idx="3">
                  <c:v>103</c:v>
                </c:pt>
              </c:numCache>
            </c:numRef>
          </c:val>
          <c:extLst>
            <c:ext xmlns:c16="http://schemas.microsoft.com/office/drawing/2014/chart" uri="{C3380CC4-5D6E-409C-BE32-E72D297353CC}">
              <c16:uniqueId val="{00000000-2269-4C8F-9090-CCA47EE41130}"/>
            </c:ext>
          </c:extLst>
        </c:ser>
        <c:dLbls>
          <c:dLblPos val="ctr"/>
          <c:showLegendKey val="0"/>
          <c:showVal val="0"/>
          <c:showCatName val="0"/>
          <c:showSerName val="0"/>
          <c:showPercent val="1"/>
          <c:showBubbleSize val="0"/>
          <c:showLeaderLines val="1"/>
        </c:dLbls>
      </c:pie3DChart>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[ABC_Project_Document_Dashboard (Recovered).xlsx]Sheet2!PivotTable4</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solidFill>
                  <a:schemeClr val="tx2"/>
                </a:solidFill>
              </a:rPr>
              <a:t>STATUS</a:t>
            </a:r>
            <a:r>
              <a:rPr lang="en-US" baseline="0">
                <a:solidFill>
                  <a:schemeClr val="tx2"/>
                </a:solidFill>
              </a:rPr>
              <a:t> SUMMARY</a:t>
            </a:r>
            <a:endParaRPr lang="en-US">
              <a:solidFill>
                <a:schemeClr val="tx2"/>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Sheet2!$A$4:$A$9</c:f>
              <c:strCache>
                <c:ptCount val="5"/>
                <c:pt idx="0">
                  <c:v>Approved</c:v>
                </c:pt>
                <c:pt idx="1">
                  <c:v>For Review</c:v>
                </c:pt>
                <c:pt idx="2">
                  <c:v>Issued for Construction</c:v>
                </c:pt>
                <c:pt idx="3">
                  <c:v>Pending</c:v>
                </c:pt>
                <c:pt idx="4">
                  <c:v>Rejected</c:v>
                </c:pt>
              </c:strCache>
            </c:strRef>
          </c:cat>
          <c:val>
            <c:numRef>
              <c:f>Sheet2!$B$4:$B$9</c:f>
              <c:numCache>
                <c:formatCode>General</c:formatCode>
                <c:ptCount val="5"/>
                <c:pt idx="0">
                  <c:v>93</c:v>
                </c:pt>
                <c:pt idx="1">
                  <c:v>101</c:v>
                </c:pt>
                <c:pt idx="2">
                  <c:v>85</c:v>
                </c:pt>
                <c:pt idx="3">
                  <c:v>107</c:v>
                </c:pt>
                <c:pt idx="4">
                  <c:v>114</c:v>
                </c:pt>
              </c:numCache>
            </c:numRef>
          </c:val>
          <c:extLst>
            <c:ext xmlns:c16="http://schemas.microsoft.com/office/drawing/2014/chart" uri="{C3380CC4-5D6E-409C-BE32-E72D297353CC}">
              <c16:uniqueId val="{00000000-97C2-4B34-84A8-3EB7F02364CB}"/>
            </c:ext>
          </c:extLst>
        </c:ser>
        <c:dLbls>
          <c:dLblPos val="inEnd"/>
          <c:showLegendKey val="0"/>
          <c:showVal val="1"/>
          <c:showCatName val="0"/>
          <c:showSerName val="0"/>
          <c:showPercent val="0"/>
          <c:showBubbleSize val="0"/>
        </c:dLbls>
        <c:gapWidth val="100"/>
        <c:overlap val="-24"/>
        <c:axId val="930518015"/>
        <c:axId val="1425474159"/>
      </c:barChart>
      <c:catAx>
        <c:axId val="9305180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200" b="1" i="0" u="none" strike="noStrike" kern="1200" baseline="0">
                <a:solidFill>
                  <a:schemeClr val="tx2"/>
                </a:solidFill>
                <a:latin typeface="+mn-lt"/>
                <a:ea typeface="+mn-ea"/>
                <a:cs typeface="+mn-cs"/>
              </a:defRPr>
            </a:pPr>
            <a:endParaRPr lang="en-US"/>
          </a:p>
        </c:txPr>
        <c:crossAx val="1425474159"/>
        <c:crosses val="autoZero"/>
        <c:auto val="1"/>
        <c:lblAlgn val="ctr"/>
        <c:lblOffset val="100"/>
        <c:noMultiLvlLbl val="0"/>
      </c:catAx>
      <c:valAx>
        <c:axId val="142547415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2"/>
                </a:solidFill>
                <a:latin typeface="+mn-lt"/>
                <a:ea typeface="+mn-ea"/>
                <a:cs typeface="+mn-cs"/>
              </a:defRPr>
            </a:pPr>
            <a:endParaRPr lang="en-US"/>
          </a:p>
        </c:txPr>
        <c:crossAx val="930518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[ABC_Project_Document_Dashboard (Recovered).xlsx]Sheet2!PivotTable5</c:name>
    <c:fmtId val="8"/>
  </c:pivotSource>
  <c:chart>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538932633420824E-2"/>
          <c:y val="4.6296296296296294E-2"/>
          <c:w val="0.93603237095363079"/>
          <c:h val="0.73577136191309422"/>
        </c:manualLayout>
      </c:layout>
      <c:barChart>
        <c:barDir val="col"/>
        <c:grouping val="clustered"/>
        <c:varyColors val="0"/>
        <c:ser>
          <c:idx val="0"/>
          <c:order val="0"/>
          <c:tx>
            <c:strRef>
              <c:f>Sheet2!$E$3:$E$4</c:f>
              <c:strCache>
                <c:ptCount val="1"/>
                <c:pt idx="0">
                  <c:v>Approved</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Sheet2!$D$5:$D$11</c:f>
              <c:strCache>
                <c:ptCount val="6"/>
                <c:pt idx="0">
                  <c:v>Architectural</c:v>
                </c:pt>
                <c:pt idx="1">
                  <c:v>Architecture</c:v>
                </c:pt>
                <c:pt idx="2">
                  <c:v>Civil</c:v>
                </c:pt>
                <c:pt idx="3">
                  <c:v>Electrical</c:v>
                </c:pt>
                <c:pt idx="4">
                  <c:v>Mechanical</c:v>
                </c:pt>
                <c:pt idx="5">
                  <c:v>Plumbing</c:v>
                </c:pt>
              </c:strCache>
            </c:strRef>
          </c:cat>
          <c:val>
            <c:numRef>
              <c:f>Sheet2!$E$5:$E$11</c:f>
              <c:numCache>
                <c:formatCode>General</c:formatCode>
                <c:ptCount val="6"/>
                <c:pt idx="0">
                  <c:v>2</c:v>
                </c:pt>
                <c:pt idx="1">
                  <c:v>16</c:v>
                </c:pt>
                <c:pt idx="2">
                  <c:v>23</c:v>
                </c:pt>
                <c:pt idx="3">
                  <c:v>16</c:v>
                </c:pt>
                <c:pt idx="4">
                  <c:v>21</c:v>
                </c:pt>
                <c:pt idx="5">
                  <c:v>15</c:v>
                </c:pt>
              </c:numCache>
            </c:numRef>
          </c:val>
          <c:extLst>
            <c:ext xmlns:c16="http://schemas.microsoft.com/office/drawing/2014/chart" uri="{C3380CC4-5D6E-409C-BE32-E72D297353CC}">
              <c16:uniqueId val="{00000000-3933-44EC-A693-7C37980B9D70}"/>
            </c:ext>
          </c:extLst>
        </c:ser>
        <c:ser>
          <c:idx val="1"/>
          <c:order val="1"/>
          <c:tx>
            <c:strRef>
              <c:f>Sheet2!$F$3:$F$4</c:f>
              <c:strCache>
                <c:ptCount val="1"/>
                <c:pt idx="0">
                  <c:v>For Review</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Sheet2!$D$5:$D$11</c:f>
              <c:strCache>
                <c:ptCount val="6"/>
                <c:pt idx="0">
                  <c:v>Architectural</c:v>
                </c:pt>
                <c:pt idx="1">
                  <c:v>Architecture</c:v>
                </c:pt>
                <c:pt idx="2">
                  <c:v>Civil</c:v>
                </c:pt>
                <c:pt idx="3">
                  <c:v>Electrical</c:v>
                </c:pt>
                <c:pt idx="4">
                  <c:v>Mechanical</c:v>
                </c:pt>
                <c:pt idx="5">
                  <c:v>Plumbing</c:v>
                </c:pt>
              </c:strCache>
            </c:strRef>
          </c:cat>
          <c:val>
            <c:numRef>
              <c:f>Sheet2!$F$5:$F$11</c:f>
              <c:numCache>
                <c:formatCode>General</c:formatCode>
                <c:ptCount val="6"/>
                <c:pt idx="1">
                  <c:v>17</c:v>
                </c:pt>
                <c:pt idx="2">
                  <c:v>25</c:v>
                </c:pt>
                <c:pt idx="3">
                  <c:v>17</c:v>
                </c:pt>
                <c:pt idx="4">
                  <c:v>16</c:v>
                </c:pt>
                <c:pt idx="5">
                  <c:v>26</c:v>
                </c:pt>
              </c:numCache>
            </c:numRef>
          </c:val>
          <c:extLst>
            <c:ext xmlns:c16="http://schemas.microsoft.com/office/drawing/2014/chart" uri="{C3380CC4-5D6E-409C-BE32-E72D297353CC}">
              <c16:uniqueId val="{00000016-3933-44EC-A693-7C37980B9D70}"/>
            </c:ext>
          </c:extLst>
        </c:ser>
        <c:ser>
          <c:idx val="2"/>
          <c:order val="2"/>
          <c:tx>
            <c:strRef>
              <c:f>Sheet2!$G$3:$G$4</c:f>
              <c:strCache>
                <c:ptCount val="1"/>
                <c:pt idx="0">
                  <c:v>Issued for Construction</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Sheet2!$D$5:$D$11</c:f>
              <c:strCache>
                <c:ptCount val="6"/>
                <c:pt idx="0">
                  <c:v>Architectural</c:v>
                </c:pt>
                <c:pt idx="1">
                  <c:v>Architecture</c:v>
                </c:pt>
                <c:pt idx="2">
                  <c:v>Civil</c:v>
                </c:pt>
                <c:pt idx="3">
                  <c:v>Electrical</c:v>
                </c:pt>
                <c:pt idx="4">
                  <c:v>Mechanical</c:v>
                </c:pt>
                <c:pt idx="5">
                  <c:v>Plumbing</c:v>
                </c:pt>
              </c:strCache>
            </c:strRef>
          </c:cat>
          <c:val>
            <c:numRef>
              <c:f>Sheet2!$G$5:$G$11</c:f>
              <c:numCache>
                <c:formatCode>General</c:formatCode>
                <c:ptCount val="6"/>
                <c:pt idx="1">
                  <c:v>17</c:v>
                </c:pt>
                <c:pt idx="2">
                  <c:v>17</c:v>
                </c:pt>
                <c:pt idx="3">
                  <c:v>16</c:v>
                </c:pt>
                <c:pt idx="4">
                  <c:v>14</c:v>
                </c:pt>
                <c:pt idx="5">
                  <c:v>21</c:v>
                </c:pt>
              </c:numCache>
            </c:numRef>
          </c:val>
          <c:extLst>
            <c:ext xmlns:c16="http://schemas.microsoft.com/office/drawing/2014/chart" uri="{C3380CC4-5D6E-409C-BE32-E72D297353CC}">
              <c16:uniqueId val="{00000017-3933-44EC-A693-7C37980B9D70}"/>
            </c:ext>
          </c:extLst>
        </c:ser>
        <c:ser>
          <c:idx val="3"/>
          <c:order val="3"/>
          <c:tx>
            <c:strRef>
              <c:f>Sheet2!$H$3:$H$4</c:f>
              <c:strCache>
                <c:ptCount val="1"/>
                <c:pt idx="0">
                  <c:v>Pending</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Sheet2!$D$5:$D$11</c:f>
              <c:strCache>
                <c:ptCount val="6"/>
                <c:pt idx="0">
                  <c:v>Architectural</c:v>
                </c:pt>
                <c:pt idx="1">
                  <c:v>Architecture</c:v>
                </c:pt>
                <c:pt idx="2">
                  <c:v>Civil</c:v>
                </c:pt>
                <c:pt idx="3">
                  <c:v>Electrical</c:v>
                </c:pt>
                <c:pt idx="4">
                  <c:v>Mechanical</c:v>
                </c:pt>
                <c:pt idx="5">
                  <c:v>Plumbing</c:v>
                </c:pt>
              </c:strCache>
            </c:strRef>
          </c:cat>
          <c:val>
            <c:numRef>
              <c:f>Sheet2!$H$5:$H$11</c:f>
              <c:numCache>
                <c:formatCode>General</c:formatCode>
                <c:ptCount val="6"/>
                <c:pt idx="1">
                  <c:v>21</c:v>
                </c:pt>
                <c:pt idx="2">
                  <c:v>17</c:v>
                </c:pt>
                <c:pt idx="3">
                  <c:v>24</c:v>
                </c:pt>
                <c:pt idx="4">
                  <c:v>21</c:v>
                </c:pt>
                <c:pt idx="5">
                  <c:v>24</c:v>
                </c:pt>
              </c:numCache>
            </c:numRef>
          </c:val>
          <c:extLst>
            <c:ext xmlns:c16="http://schemas.microsoft.com/office/drawing/2014/chart" uri="{C3380CC4-5D6E-409C-BE32-E72D297353CC}">
              <c16:uniqueId val="{00000018-3933-44EC-A693-7C37980B9D70}"/>
            </c:ext>
          </c:extLst>
        </c:ser>
        <c:ser>
          <c:idx val="4"/>
          <c:order val="4"/>
          <c:tx>
            <c:strRef>
              <c:f>Sheet2!$I$3:$I$4</c:f>
              <c:strCache>
                <c:ptCount val="1"/>
                <c:pt idx="0">
                  <c:v>Rejected</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Sheet2!$D$5:$D$11</c:f>
              <c:strCache>
                <c:ptCount val="6"/>
                <c:pt idx="0">
                  <c:v>Architectural</c:v>
                </c:pt>
                <c:pt idx="1">
                  <c:v>Architecture</c:v>
                </c:pt>
                <c:pt idx="2">
                  <c:v>Civil</c:v>
                </c:pt>
                <c:pt idx="3">
                  <c:v>Electrical</c:v>
                </c:pt>
                <c:pt idx="4">
                  <c:v>Mechanical</c:v>
                </c:pt>
                <c:pt idx="5">
                  <c:v>Plumbing</c:v>
                </c:pt>
              </c:strCache>
            </c:strRef>
          </c:cat>
          <c:val>
            <c:numRef>
              <c:f>Sheet2!$I$5:$I$11</c:f>
              <c:numCache>
                <c:formatCode>General</c:formatCode>
                <c:ptCount val="6"/>
                <c:pt idx="0">
                  <c:v>2</c:v>
                </c:pt>
                <c:pt idx="1">
                  <c:v>20</c:v>
                </c:pt>
                <c:pt idx="2">
                  <c:v>24</c:v>
                </c:pt>
                <c:pt idx="3">
                  <c:v>28</c:v>
                </c:pt>
                <c:pt idx="4">
                  <c:v>20</c:v>
                </c:pt>
                <c:pt idx="5">
                  <c:v>20</c:v>
                </c:pt>
              </c:numCache>
            </c:numRef>
          </c:val>
          <c:extLst>
            <c:ext xmlns:c16="http://schemas.microsoft.com/office/drawing/2014/chart" uri="{C3380CC4-5D6E-409C-BE32-E72D297353CC}">
              <c16:uniqueId val="{00000019-3933-44EC-A693-7C37980B9D70}"/>
            </c:ext>
          </c:extLst>
        </c:ser>
        <c:dLbls>
          <c:dLblPos val="inEnd"/>
          <c:showLegendKey val="0"/>
          <c:showVal val="1"/>
          <c:showCatName val="0"/>
          <c:showSerName val="0"/>
          <c:showPercent val="0"/>
          <c:showBubbleSize val="0"/>
        </c:dLbls>
        <c:gapWidth val="100"/>
        <c:overlap val="-24"/>
        <c:axId val="1275682159"/>
        <c:axId val="1194571375"/>
      </c:barChart>
      <c:catAx>
        <c:axId val="1275682159"/>
        <c:scaling>
          <c:orientation val="minMax"/>
        </c:scaling>
        <c:delete val="0"/>
        <c:axPos val="b"/>
        <c:minorGridlines>
          <c:spPr>
            <a:ln>
              <a:solidFill>
                <a:schemeClr val="lt1">
                  <a:lumMod val="95000"/>
                  <a:alpha val="5000"/>
                </a:schemeClr>
              </a:solidFill>
            </a:ln>
            <a:effectLst/>
          </c:spPr>
        </c:minorGridlines>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200" b="1" i="0" u="none" strike="noStrike" kern="1200" baseline="0">
                <a:solidFill>
                  <a:schemeClr val="tx2"/>
                </a:solidFill>
                <a:latin typeface="+mn-lt"/>
                <a:ea typeface="+mn-ea"/>
                <a:cs typeface="+mn-cs"/>
              </a:defRPr>
            </a:pPr>
            <a:endParaRPr lang="en-US"/>
          </a:p>
        </c:txPr>
        <c:crossAx val="1194571375"/>
        <c:crosses val="autoZero"/>
        <c:auto val="1"/>
        <c:lblAlgn val="ctr"/>
        <c:lblOffset val="100"/>
        <c:noMultiLvlLbl val="0"/>
      </c:catAx>
      <c:valAx>
        <c:axId val="119457137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2"/>
                </a:solidFill>
                <a:latin typeface="+mn-lt"/>
                <a:ea typeface="+mn-ea"/>
                <a:cs typeface="+mn-cs"/>
              </a:defRPr>
            </a:pPr>
            <a:endParaRPr lang="en-US"/>
          </a:p>
        </c:txPr>
        <c:crossAx val="12756821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1"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[ABC_Project_Document_Dashboard (Recovered).xlsx]Sheet2!PivotTable6</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solidFill>
                  <a:schemeClr val="tx2"/>
                </a:solidFill>
                <a:effectLst>
                  <a:outerShdw blurRad="50800" dist="38100" dir="5400000" algn="t" rotWithShape="0">
                    <a:prstClr val="black">
                      <a:alpha val="40000"/>
                    </a:prstClr>
                  </a:outerShdw>
                </a:effectLst>
              </a:rPr>
              <a:t>REVISION TRACKING</a:t>
            </a:r>
            <a:endParaRPr lang="en-US">
              <a:solidFill>
                <a:schemeClr val="tx2"/>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3632641594401088"/>
              <c:y val="9.45029196172547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1775915421385102"/>
              <c:y val="-0.279329941299440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9423314480245568"/>
              <c:y val="-0.18151908977755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4298875838163663"/>
              <c:y val="6.47426425394308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Sheet2!$M$3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5CB1-4E7A-AC78-8087FC1D53ED}"/>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5CB1-4E7A-AC78-8087FC1D53ED}"/>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5CB1-4E7A-AC78-8087FC1D53ED}"/>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5CB1-4E7A-AC78-8087FC1D53ED}"/>
              </c:ext>
            </c:extLst>
          </c:dPt>
          <c:dLbls>
            <c:dLbl>
              <c:idx val="0"/>
              <c:layout>
                <c:manualLayout>
                  <c:x val="-0.13632641594401088"/>
                  <c:y val="9.4502919617254724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CB1-4E7A-AC78-8087FC1D53ED}"/>
                </c:ext>
              </c:extLst>
            </c:dLbl>
            <c:dLbl>
              <c:idx val="1"/>
              <c:layout>
                <c:manualLayout>
                  <c:x val="-0.11775915421385102"/>
                  <c:y val="-0.2793299412994402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CB1-4E7A-AC78-8087FC1D53ED}"/>
                </c:ext>
              </c:extLst>
            </c:dLbl>
            <c:dLbl>
              <c:idx val="2"/>
              <c:layout>
                <c:manualLayout>
                  <c:x val="0.19423314480245568"/>
                  <c:y val="-0.1815190897775586"/>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CB1-4E7A-AC78-8087FC1D53ED}"/>
                </c:ext>
              </c:extLst>
            </c:dLbl>
            <c:dLbl>
              <c:idx val="3"/>
              <c:layout>
                <c:manualLayout>
                  <c:x val="0.14298875838163663"/>
                  <c:y val="6.4742642539430864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CB1-4E7A-AC78-8087FC1D53E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Sheet2!$L$4:$L$8</c:f>
              <c:strCache>
                <c:ptCount val="4"/>
                <c:pt idx="0">
                  <c:v>A</c:v>
                </c:pt>
                <c:pt idx="1">
                  <c:v>B</c:v>
                </c:pt>
                <c:pt idx="2">
                  <c:v>C</c:v>
                </c:pt>
                <c:pt idx="3">
                  <c:v>D</c:v>
                </c:pt>
              </c:strCache>
            </c:strRef>
          </c:cat>
          <c:val>
            <c:numRef>
              <c:f>Sheet2!$M$4:$M$8</c:f>
              <c:numCache>
                <c:formatCode>General</c:formatCode>
                <c:ptCount val="4"/>
                <c:pt idx="0">
                  <c:v>148</c:v>
                </c:pt>
                <c:pt idx="1">
                  <c:v>118</c:v>
                </c:pt>
                <c:pt idx="2">
                  <c:v>131</c:v>
                </c:pt>
                <c:pt idx="3">
                  <c:v>103</c:v>
                </c:pt>
              </c:numCache>
            </c:numRef>
          </c:val>
          <c:extLst>
            <c:ext xmlns:c16="http://schemas.microsoft.com/office/drawing/2014/chart" uri="{C3380CC4-5D6E-409C-BE32-E72D297353CC}">
              <c16:uniqueId val="{00000008-5CB1-4E7A-AC78-8087FC1D53ED}"/>
            </c:ext>
          </c:extLst>
        </c:ser>
        <c:dLbls>
          <c:dLblPos val="ctr"/>
          <c:showLegendKey val="0"/>
          <c:showVal val="0"/>
          <c:showCatName val="0"/>
          <c:showSerName val="0"/>
          <c:showPercent val="1"/>
          <c:showBubbleSize val="0"/>
          <c:showLeaderLines val="1"/>
        </c:dLbls>
      </c:pie3DChart>
      <c:spPr>
        <a:noFill/>
        <a:ln>
          <a:noFill/>
        </a:ln>
        <a:effectLst/>
      </c:spPr>
    </c:plotArea>
    <c:legend>
      <c:legendPos val="r"/>
      <c:layout>
        <c:manualLayout>
          <c:xMode val="edge"/>
          <c:yMode val="edge"/>
          <c:x val="0.88615907573910258"/>
          <c:y val="0.21326847287559861"/>
          <c:w val="5.080344666113052E-2"/>
          <c:h val="0.54391145207458935"/>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chart" Target="../charts/chart6.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0</xdr:col>
      <xdr:colOff>441960</xdr:colOff>
      <xdr:row>10</xdr:row>
      <xdr:rowOff>156210</xdr:rowOff>
    </xdr:from>
    <xdr:to>
      <xdr:col>5</xdr:col>
      <xdr:colOff>426720</xdr:colOff>
      <xdr:row>27</xdr:row>
      <xdr:rowOff>45720</xdr:rowOff>
    </xdr:to>
    <xdr:graphicFrame macro="">
      <xdr:nvGraphicFramePr>
        <xdr:cNvPr id="3" name="Chart 2">
          <a:extLst>
            <a:ext uri="{FF2B5EF4-FFF2-40B4-BE49-F238E27FC236}">
              <a16:creationId xmlns:a16="http://schemas.microsoft.com/office/drawing/2014/main" id="{15E2CDC1-291D-463E-5817-87064C2479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655320</xdr:colOff>
      <xdr:row>2</xdr:row>
      <xdr:rowOff>179070</xdr:rowOff>
    </xdr:from>
    <xdr:to>
      <xdr:col>16</xdr:col>
      <xdr:colOff>160020</xdr:colOff>
      <xdr:row>17</xdr:row>
      <xdr:rowOff>179070</xdr:rowOff>
    </xdr:to>
    <xdr:graphicFrame macro="">
      <xdr:nvGraphicFramePr>
        <xdr:cNvPr id="4" name="Chart 3">
          <a:extLst>
            <a:ext uri="{FF2B5EF4-FFF2-40B4-BE49-F238E27FC236}">
              <a16:creationId xmlns:a16="http://schemas.microsoft.com/office/drawing/2014/main" id="{EFAE63B9-1284-7EDA-E0F7-F26C078560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472440</xdr:colOff>
      <xdr:row>20</xdr:row>
      <xdr:rowOff>125730</xdr:rowOff>
    </xdr:from>
    <xdr:to>
      <xdr:col>15</xdr:col>
      <xdr:colOff>510540</xdr:colOff>
      <xdr:row>35</xdr:row>
      <xdr:rowOff>125730</xdr:rowOff>
    </xdr:to>
    <xdr:graphicFrame macro="">
      <xdr:nvGraphicFramePr>
        <xdr:cNvPr id="5" name="Chart 4">
          <a:extLst>
            <a:ext uri="{FF2B5EF4-FFF2-40B4-BE49-F238E27FC236}">
              <a16:creationId xmlns:a16="http://schemas.microsoft.com/office/drawing/2014/main" id="{70A9AE94-8DDB-3CA6-60BB-CC81B808B4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38100</xdr:colOff>
      <xdr:row>0</xdr:row>
      <xdr:rowOff>0</xdr:rowOff>
    </xdr:from>
    <xdr:to>
      <xdr:col>11</xdr:col>
      <xdr:colOff>518160</xdr:colOff>
      <xdr:row>13</xdr:row>
      <xdr:rowOff>89535</xdr:rowOff>
    </xdr:to>
    <mc:AlternateContent xmlns:mc="http://schemas.openxmlformats.org/markup-compatibility/2006" xmlns:a14="http://schemas.microsoft.com/office/drawing/2010/main">
      <mc:Choice Requires="a14">
        <xdr:graphicFrame macro="">
          <xdr:nvGraphicFramePr>
            <xdr:cNvPr id="6" name="Discipline 1">
              <a:extLst>
                <a:ext uri="{FF2B5EF4-FFF2-40B4-BE49-F238E27FC236}">
                  <a16:creationId xmlns:a16="http://schemas.microsoft.com/office/drawing/2014/main" id="{6208D873-3931-ACCD-4402-6F821DE92A39}"/>
                </a:ext>
              </a:extLst>
            </xdr:cNvPr>
            <xdr:cNvGraphicFramePr/>
          </xdr:nvGraphicFramePr>
          <xdr:xfrm>
            <a:off x="0" y="0"/>
            <a:ext cx="0" cy="0"/>
          </xdr:xfrm>
          <a:graphic>
            <a:graphicData uri="http://schemas.microsoft.com/office/drawing/2010/slicer">
              <sle:slicer xmlns:sle="http://schemas.microsoft.com/office/drawing/2010/slicer" name="Discipline 1"/>
            </a:graphicData>
          </a:graphic>
        </xdr:graphicFrame>
      </mc:Choice>
      <mc:Fallback xmlns="">
        <xdr:sp macro="" textlink="">
          <xdr:nvSpPr>
            <xdr:cNvPr id="0" name=""/>
            <xdr:cNvSpPr>
              <a:spLocks noTextEdit="1"/>
            </xdr:cNvSpPr>
          </xdr:nvSpPr>
          <xdr:spPr>
            <a:xfrm>
              <a:off x="8374380" y="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198120</xdr:colOff>
      <xdr:row>3</xdr:row>
      <xdr:rowOff>152400</xdr:rowOff>
    </xdr:from>
    <xdr:to>
      <xdr:col>14</xdr:col>
      <xdr:colOff>388620</xdr:colOff>
      <xdr:row>17</xdr:row>
      <xdr:rowOff>59055</xdr:rowOff>
    </xdr:to>
    <mc:AlternateContent xmlns:mc="http://schemas.openxmlformats.org/markup-compatibility/2006" xmlns:a14="http://schemas.microsoft.com/office/drawing/2010/main">
      <mc:Choice Requires="a14">
        <xdr:graphicFrame macro="">
          <xdr:nvGraphicFramePr>
            <xdr:cNvPr id="7" name="Revision 1">
              <a:extLst>
                <a:ext uri="{FF2B5EF4-FFF2-40B4-BE49-F238E27FC236}">
                  <a16:creationId xmlns:a16="http://schemas.microsoft.com/office/drawing/2014/main" id="{F47822D3-60D2-41AB-6A07-000A9BE8C93E}"/>
                </a:ext>
              </a:extLst>
            </xdr:cNvPr>
            <xdr:cNvGraphicFramePr/>
          </xdr:nvGraphicFramePr>
          <xdr:xfrm>
            <a:off x="0" y="0"/>
            <a:ext cx="0" cy="0"/>
          </xdr:xfrm>
          <a:graphic>
            <a:graphicData uri="http://schemas.microsoft.com/office/drawing/2010/slicer">
              <sle:slicer xmlns:sle="http://schemas.microsoft.com/office/drawing/2010/slicer" name="Revision 1"/>
            </a:graphicData>
          </a:graphic>
        </xdr:graphicFrame>
      </mc:Choice>
      <mc:Fallback xmlns="">
        <xdr:sp macro="" textlink="">
          <xdr:nvSpPr>
            <xdr:cNvPr id="0" name=""/>
            <xdr:cNvSpPr>
              <a:spLocks noTextEdit="1"/>
            </xdr:cNvSpPr>
          </xdr:nvSpPr>
          <xdr:spPr>
            <a:xfrm>
              <a:off x="10744200" y="7010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350520</xdr:colOff>
      <xdr:row>16</xdr:row>
      <xdr:rowOff>121920</xdr:rowOff>
    </xdr:from>
    <xdr:to>
      <xdr:col>8</xdr:col>
      <xdr:colOff>220980</xdr:colOff>
      <xdr:row>30</xdr:row>
      <xdr:rowOff>28575</xdr:rowOff>
    </xdr:to>
    <mc:AlternateContent xmlns:mc="http://schemas.openxmlformats.org/markup-compatibility/2006" xmlns:a14="http://schemas.microsoft.com/office/drawing/2010/main">
      <mc:Choice Requires="a14">
        <xdr:graphicFrame macro="">
          <xdr:nvGraphicFramePr>
            <xdr:cNvPr id="8" name="Status 1">
              <a:extLst>
                <a:ext uri="{FF2B5EF4-FFF2-40B4-BE49-F238E27FC236}">
                  <a16:creationId xmlns:a16="http://schemas.microsoft.com/office/drawing/2014/main" id="{EC5C96F1-6B1E-1AF4-C9AC-6D0B95F1CE2F}"/>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6156960" y="30480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77929</xdr:colOff>
      <xdr:row>0</xdr:row>
      <xdr:rowOff>112567</xdr:rowOff>
    </xdr:from>
    <xdr:to>
      <xdr:col>23</xdr:col>
      <xdr:colOff>32656</xdr:colOff>
      <xdr:row>5</xdr:row>
      <xdr:rowOff>8658</xdr:rowOff>
    </xdr:to>
    <xdr:sp macro="" textlink="">
      <xdr:nvSpPr>
        <xdr:cNvPr id="8" name="Rectangle: Rounded Corners 7">
          <a:extLst>
            <a:ext uri="{FF2B5EF4-FFF2-40B4-BE49-F238E27FC236}">
              <a16:creationId xmlns:a16="http://schemas.microsoft.com/office/drawing/2014/main" id="{09F8B159-46EC-1B74-F6D0-39ECC390ABEE}"/>
            </a:ext>
          </a:extLst>
        </xdr:cNvPr>
        <xdr:cNvSpPr/>
      </xdr:nvSpPr>
      <xdr:spPr>
        <a:xfrm>
          <a:off x="77929" y="112567"/>
          <a:ext cx="13975527" cy="821377"/>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602177</xdr:colOff>
      <xdr:row>6</xdr:row>
      <xdr:rowOff>12864</xdr:rowOff>
    </xdr:from>
    <xdr:to>
      <xdr:col>15</xdr:col>
      <xdr:colOff>325086</xdr:colOff>
      <xdr:row>10</xdr:row>
      <xdr:rowOff>99457</xdr:rowOff>
    </xdr:to>
    <xdr:grpSp>
      <xdr:nvGrpSpPr>
        <xdr:cNvPr id="79" name="Group 78">
          <a:extLst>
            <a:ext uri="{FF2B5EF4-FFF2-40B4-BE49-F238E27FC236}">
              <a16:creationId xmlns:a16="http://schemas.microsoft.com/office/drawing/2014/main" id="{D8040AB6-4140-2AB3-03BA-6839DDD7CA30}"/>
            </a:ext>
          </a:extLst>
        </xdr:cNvPr>
        <xdr:cNvGrpSpPr/>
      </xdr:nvGrpSpPr>
      <xdr:grpSpPr>
        <a:xfrm>
          <a:off x="4853916" y="1139299"/>
          <a:ext cx="4582040" cy="837549"/>
          <a:chOff x="4912920" y="1014350"/>
          <a:chExt cx="4599709" cy="826821"/>
        </a:xfrm>
      </xdr:grpSpPr>
      <xdr:sp macro="" textlink="">
        <xdr:nvSpPr>
          <xdr:cNvPr id="23" name="Rectangle: Rounded Corners 22">
            <a:extLst>
              <a:ext uri="{FF2B5EF4-FFF2-40B4-BE49-F238E27FC236}">
                <a16:creationId xmlns:a16="http://schemas.microsoft.com/office/drawing/2014/main" id="{F6DCB42B-6A1C-B8AA-5B71-392DF85A7573}"/>
              </a:ext>
            </a:extLst>
          </xdr:cNvPr>
          <xdr:cNvSpPr/>
        </xdr:nvSpPr>
        <xdr:spPr>
          <a:xfrm>
            <a:off x="4912920" y="1014350"/>
            <a:ext cx="4599709" cy="82682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4" name="Rectangle: Rounded Corners 23">
            <a:extLst>
              <a:ext uri="{FF2B5EF4-FFF2-40B4-BE49-F238E27FC236}">
                <a16:creationId xmlns:a16="http://schemas.microsoft.com/office/drawing/2014/main" id="{F0EFCA50-188D-3BFC-4BF8-F2F02738DAB1}"/>
              </a:ext>
            </a:extLst>
          </xdr:cNvPr>
          <xdr:cNvSpPr/>
        </xdr:nvSpPr>
        <xdr:spPr>
          <a:xfrm>
            <a:off x="4912921" y="1023010"/>
            <a:ext cx="670212" cy="818161"/>
          </a:xfrm>
          <a:prstGeom prst="roundRect">
            <a:avLst/>
          </a:prstGeom>
          <a:solidFill>
            <a:schemeClr val="accent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5" name="TextBox 24">
            <a:extLst>
              <a:ext uri="{FF2B5EF4-FFF2-40B4-BE49-F238E27FC236}">
                <a16:creationId xmlns:a16="http://schemas.microsoft.com/office/drawing/2014/main" id="{00DDA02A-AB0C-E13F-7C1C-F320849E2F9C}"/>
              </a:ext>
            </a:extLst>
          </xdr:cNvPr>
          <xdr:cNvSpPr txBox="1"/>
        </xdr:nvSpPr>
        <xdr:spPr>
          <a:xfrm>
            <a:off x="5820391" y="1109599"/>
            <a:ext cx="3255817" cy="274866"/>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cap="none" spc="0">
                <a:ln w="0">
                  <a:solidFill>
                    <a:schemeClr val="tx2"/>
                  </a:solidFill>
                </a:ln>
                <a:solidFill>
                  <a:schemeClr val="tx2"/>
                </a:solidFill>
                <a:effectLst>
                  <a:outerShdw blurRad="38100" dist="25400" dir="5400000" algn="ctr" rotWithShape="0">
                    <a:srgbClr val="6E747A">
                      <a:alpha val="43000"/>
                    </a:srgbClr>
                  </a:outerShdw>
                </a:effectLst>
              </a:rPr>
              <a:t>DOCUMENTS PENDING</a:t>
            </a:r>
            <a:r>
              <a:rPr lang="en-US" sz="1500" b="1" cap="none" spc="0" baseline="0">
                <a:ln w="0">
                  <a:solidFill>
                    <a:schemeClr val="tx2"/>
                  </a:solidFill>
                </a:ln>
                <a:solidFill>
                  <a:schemeClr val="tx2"/>
                </a:solidFill>
                <a:effectLst>
                  <a:outerShdw blurRad="38100" dist="25400" dir="5400000" algn="ctr" rotWithShape="0">
                    <a:srgbClr val="6E747A">
                      <a:alpha val="43000"/>
                    </a:srgbClr>
                  </a:outerShdw>
                </a:effectLst>
              </a:rPr>
              <a:t> APPROVAL</a:t>
            </a:r>
            <a:endParaRPr lang="en-US" sz="1500" b="1" cap="none" spc="0">
              <a:ln w="0">
                <a:solidFill>
                  <a:schemeClr val="tx2"/>
                </a:solidFill>
              </a:ln>
              <a:solidFill>
                <a:schemeClr val="tx2"/>
              </a:solidFill>
              <a:effectLst>
                <a:outerShdw blurRad="38100" dist="25400" dir="5400000" algn="ctr" rotWithShape="0">
                  <a:srgbClr val="6E747A">
                    <a:alpha val="43000"/>
                  </a:srgbClr>
                </a:outerShdw>
              </a:effectLst>
            </a:endParaRPr>
          </a:p>
        </xdr:txBody>
      </xdr:sp>
      <xdr:sp macro="" textlink="">
        <xdr:nvSpPr>
          <xdr:cNvPr id="26" name="TextBox 25">
            <a:extLst>
              <a:ext uri="{FF2B5EF4-FFF2-40B4-BE49-F238E27FC236}">
                <a16:creationId xmlns:a16="http://schemas.microsoft.com/office/drawing/2014/main" id="{7162283E-EC79-E906-61BC-EC376E57FAE6}"/>
              </a:ext>
            </a:extLst>
          </xdr:cNvPr>
          <xdr:cNvSpPr txBox="1"/>
        </xdr:nvSpPr>
        <xdr:spPr>
          <a:xfrm>
            <a:off x="6944344" y="1479715"/>
            <a:ext cx="1478974" cy="2402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i="0" u="none" strike="noStrike" cap="none" spc="0">
                <a:ln w="0">
                  <a:solidFill>
                    <a:schemeClr val="tx2"/>
                  </a:solidFill>
                </a:ln>
                <a:solidFill>
                  <a:schemeClr val="tx2"/>
                </a:solidFill>
                <a:effectLst>
                  <a:outerShdw blurRad="38100" dist="25400" dir="5400000" algn="ctr" rotWithShape="0">
                    <a:srgbClr val="6E747A">
                      <a:alpha val="43000"/>
                    </a:srgbClr>
                  </a:outerShdw>
                </a:effectLst>
                <a:latin typeface="+mn-lt"/>
                <a:ea typeface="+mn-ea"/>
                <a:cs typeface="+mn-cs"/>
              </a:rPr>
              <a:t>107</a:t>
            </a:r>
            <a:endParaRPr lang="en-US" sz="1500">
              <a:ln w="0">
                <a:solidFill>
                  <a:schemeClr val="tx2"/>
                </a:solidFill>
              </a:ln>
              <a:solidFill>
                <a:schemeClr val="tx2"/>
              </a:solidFill>
            </a:endParaRPr>
          </a:p>
        </xdr:txBody>
      </xdr:sp>
      <xdr:sp macro="" textlink="">
        <xdr:nvSpPr>
          <xdr:cNvPr id="56" name="Graphic 46" descr="Hourglass Finished with solid fill">
            <a:extLst>
              <a:ext uri="{FF2B5EF4-FFF2-40B4-BE49-F238E27FC236}">
                <a16:creationId xmlns:a16="http://schemas.microsoft.com/office/drawing/2014/main" id="{46AB3AE7-A3B2-5CCF-01DA-FEA15AF92600}"/>
              </a:ext>
            </a:extLst>
          </xdr:cNvPr>
          <xdr:cNvSpPr/>
        </xdr:nvSpPr>
        <xdr:spPr>
          <a:xfrm>
            <a:off x="5042475" y="1182089"/>
            <a:ext cx="395433" cy="546511"/>
          </a:xfrm>
          <a:custGeom>
            <a:avLst/>
            <a:gdLst>
              <a:gd name="connsiteX0" fmla="*/ 193964 w 323272"/>
              <a:gd name="connsiteY0" fmla="*/ 277849 h 490681"/>
              <a:gd name="connsiteX1" fmla="*/ 245918 w 323272"/>
              <a:gd name="connsiteY1" fmla="*/ 355744 h 490681"/>
              <a:gd name="connsiteX2" fmla="*/ 77355 w 323272"/>
              <a:gd name="connsiteY2" fmla="*/ 355744 h 490681"/>
              <a:gd name="connsiteX3" fmla="*/ 129309 w 323272"/>
              <a:gd name="connsiteY3" fmla="*/ 277849 h 490681"/>
              <a:gd name="connsiteX4" fmla="*/ 144318 w 323272"/>
              <a:gd name="connsiteY4" fmla="*/ 245341 h 490681"/>
              <a:gd name="connsiteX5" fmla="*/ 129309 w 323272"/>
              <a:gd name="connsiteY5" fmla="*/ 212833 h 490681"/>
              <a:gd name="connsiteX6" fmla="*/ 50223 w 323272"/>
              <a:gd name="connsiteY6" fmla="*/ 36801 h 490681"/>
              <a:gd name="connsiteX7" fmla="*/ 273627 w 323272"/>
              <a:gd name="connsiteY7" fmla="*/ 36801 h 490681"/>
              <a:gd name="connsiteX8" fmla="*/ 194541 w 323272"/>
              <a:gd name="connsiteY8" fmla="*/ 212833 h 490681"/>
              <a:gd name="connsiteX9" fmla="*/ 178955 w 323272"/>
              <a:gd name="connsiteY9" fmla="*/ 245341 h 490681"/>
              <a:gd name="connsiteX10" fmla="*/ 193964 w 323272"/>
              <a:gd name="connsiteY10" fmla="*/ 277849 h 490681"/>
              <a:gd name="connsiteX11" fmla="*/ 307686 w 323272"/>
              <a:gd name="connsiteY11" fmla="*/ 36801 h 490681"/>
              <a:gd name="connsiteX12" fmla="*/ 323273 w 323272"/>
              <a:gd name="connsiteY12" fmla="*/ 36801 h 490681"/>
              <a:gd name="connsiteX13" fmla="*/ 323273 w 323272"/>
              <a:gd name="connsiteY13" fmla="*/ 0 h 490681"/>
              <a:gd name="connsiteX14" fmla="*/ 0 w 323272"/>
              <a:gd name="connsiteY14" fmla="*/ 0 h 490681"/>
              <a:gd name="connsiteX15" fmla="*/ 0 w 323272"/>
              <a:gd name="connsiteY15" fmla="*/ 36801 h 490681"/>
              <a:gd name="connsiteX16" fmla="*/ 15009 w 323272"/>
              <a:gd name="connsiteY16" fmla="*/ 36801 h 490681"/>
              <a:gd name="connsiteX17" fmla="*/ 111991 w 323272"/>
              <a:gd name="connsiteY17" fmla="*/ 245341 h 490681"/>
              <a:gd name="connsiteX18" fmla="*/ 15009 w 323272"/>
              <a:gd name="connsiteY18" fmla="*/ 453881 h 490681"/>
              <a:gd name="connsiteX19" fmla="*/ 0 w 323272"/>
              <a:gd name="connsiteY19" fmla="*/ 453881 h 490681"/>
              <a:gd name="connsiteX20" fmla="*/ 0 w 323272"/>
              <a:gd name="connsiteY20" fmla="*/ 490682 h 490681"/>
              <a:gd name="connsiteX21" fmla="*/ 323273 w 323272"/>
              <a:gd name="connsiteY21" fmla="*/ 490682 h 490681"/>
              <a:gd name="connsiteX22" fmla="*/ 323273 w 323272"/>
              <a:gd name="connsiteY22" fmla="*/ 453881 h 490681"/>
              <a:gd name="connsiteX23" fmla="*/ 307686 w 323272"/>
              <a:gd name="connsiteY23" fmla="*/ 453881 h 490681"/>
              <a:gd name="connsiteX24" fmla="*/ 210705 w 323272"/>
              <a:gd name="connsiteY24" fmla="*/ 245341 h 490681"/>
              <a:gd name="connsiteX25" fmla="*/ 307686 w 323272"/>
              <a:gd name="connsiteY25" fmla="*/ 36801 h 49068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Lst>
            <a:rect l="l" t="t" r="r" b="b"/>
            <a:pathLst>
              <a:path w="323272" h="490681">
                <a:moveTo>
                  <a:pt x="193964" y="277849"/>
                </a:moveTo>
                <a:cubicBezTo>
                  <a:pt x="213591" y="294409"/>
                  <a:pt x="232064" y="323237"/>
                  <a:pt x="245918" y="355744"/>
                </a:cubicBezTo>
                <a:lnTo>
                  <a:pt x="77355" y="355744"/>
                </a:lnTo>
                <a:cubicBezTo>
                  <a:pt x="91786" y="323237"/>
                  <a:pt x="109682" y="293796"/>
                  <a:pt x="129309" y="277849"/>
                </a:cubicBezTo>
                <a:cubicBezTo>
                  <a:pt x="138546" y="269875"/>
                  <a:pt x="144318" y="258221"/>
                  <a:pt x="144318" y="245341"/>
                </a:cubicBezTo>
                <a:cubicBezTo>
                  <a:pt x="144318" y="232460"/>
                  <a:pt x="138546" y="220807"/>
                  <a:pt x="129309" y="212833"/>
                </a:cubicBezTo>
                <a:cubicBezTo>
                  <a:pt x="90055" y="180326"/>
                  <a:pt x="55995" y="96910"/>
                  <a:pt x="50223" y="36801"/>
                </a:cubicBezTo>
                <a:lnTo>
                  <a:pt x="273627" y="36801"/>
                </a:lnTo>
                <a:cubicBezTo>
                  <a:pt x="267277" y="96910"/>
                  <a:pt x="233796" y="180326"/>
                  <a:pt x="194541" y="212833"/>
                </a:cubicBezTo>
                <a:cubicBezTo>
                  <a:pt x="184727" y="220807"/>
                  <a:pt x="178955" y="232460"/>
                  <a:pt x="178955" y="245341"/>
                </a:cubicBezTo>
                <a:cubicBezTo>
                  <a:pt x="178955" y="258221"/>
                  <a:pt x="184727" y="269875"/>
                  <a:pt x="193964" y="277849"/>
                </a:cubicBezTo>
                <a:close/>
                <a:moveTo>
                  <a:pt x="307686" y="36801"/>
                </a:moveTo>
                <a:lnTo>
                  <a:pt x="323273" y="36801"/>
                </a:lnTo>
                <a:lnTo>
                  <a:pt x="323273" y="0"/>
                </a:lnTo>
                <a:lnTo>
                  <a:pt x="0" y="0"/>
                </a:lnTo>
                <a:lnTo>
                  <a:pt x="0" y="36801"/>
                </a:lnTo>
                <a:lnTo>
                  <a:pt x="15009" y="36801"/>
                </a:lnTo>
                <a:cubicBezTo>
                  <a:pt x="21359" y="104883"/>
                  <a:pt x="58305" y="204246"/>
                  <a:pt x="111991" y="245341"/>
                </a:cubicBezTo>
                <a:cubicBezTo>
                  <a:pt x="58305" y="286435"/>
                  <a:pt x="20782" y="385798"/>
                  <a:pt x="15009" y="453881"/>
                </a:cubicBezTo>
                <a:lnTo>
                  <a:pt x="0" y="453881"/>
                </a:lnTo>
                <a:lnTo>
                  <a:pt x="0" y="490682"/>
                </a:lnTo>
                <a:lnTo>
                  <a:pt x="323273" y="490682"/>
                </a:lnTo>
                <a:lnTo>
                  <a:pt x="323273" y="453881"/>
                </a:lnTo>
                <a:lnTo>
                  <a:pt x="307686" y="453881"/>
                </a:lnTo>
                <a:cubicBezTo>
                  <a:pt x="301914" y="385798"/>
                  <a:pt x="264391" y="286435"/>
                  <a:pt x="210705" y="245341"/>
                </a:cubicBezTo>
                <a:cubicBezTo>
                  <a:pt x="264391" y="204246"/>
                  <a:pt x="301914" y="104883"/>
                  <a:pt x="307686" y="36801"/>
                </a:cubicBezTo>
                <a:close/>
              </a:path>
            </a:pathLst>
          </a:custGeom>
          <a:solidFill>
            <a:srgbClr val="000000"/>
          </a:solidFill>
          <a:ln w="5755" cap="flat">
            <a:noFill/>
            <a:prstDash val="solid"/>
            <a:miter/>
          </a:ln>
        </xdr:spPr>
        <xdr:txBody>
          <a:bodyPr rtlCol="0" anchor="ctr"/>
          <a:lstStyle/>
          <a:p>
            <a:endParaRPr lang="en-US"/>
          </a:p>
        </xdr:txBody>
      </xdr:sp>
    </xdr:grpSp>
    <xdr:clientData/>
  </xdr:twoCellAnchor>
  <xdr:twoCellAnchor>
    <xdr:from>
      <xdr:col>17</xdr:col>
      <xdr:colOff>305296</xdr:colOff>
      <xdr:row>5</xdr:row>
      <xdr:rowOff>167490</xdr:rowOff>
    </xdr:from>
    <xdr:to>
      <xdr:col>23</xdr:col>
      <xdr:colOff>62842</xdr:colOff>
      <xdr:row>10</xdr:row>
      <xdr:rowOff>103661</xdr:rowOff>
    </xdr:to>
    <xdr:grpSp>
      <xdr:nvGrpSpPr>
        <xdr:cNvPr id="76" name="Group 75">
          <a:extLst>
            <a:ext uri="{FF2B5EF4-FFF2-40B4-BE49-F238E27FC236}">
              <a16:creationId xmlns:a16="http://schemas.microsoft.com/office/drawing/2014/main" id="{4841B385-B5D5-119C-1E42-B708A605ADA2}"/>
            </a:ext>
          </a:extLst>
        </xdr:cNvPr>
        <xdr:cNvGrpSpPr/>
      </xdr:nvGrpSpPr>
      <xdr:grpSpPr>
        <a:xfrm>
          <a:off x="10630948" y="1106186"/>
          <a:ext cx="3401894" cy="874866"/>
          <a:chOff x="8828810" y="951261"/>
          <a:chExt cx="3415146" cy="861456"/>
        </a:xfrm>
      </xdr:grpSpPr>
      <xdr:sp macro="" textlink="">
        <xdr:nvSpPr>
          <xdr:cNvPr id="34" name="Rectangle: Rounded Corners 33">
            <a:extLst>
              <a:ext uri="{FF2B5EF4-FFF2-40B4-BE49-F238E27FC236}">
                <a16:creationId xmlns:a16="http://schemas.microsoft.com/office/drawing/2014/main" id="{A09FA468-1DA3-CA94-95B1-8A6259632E08}"/>
              </a:ext>
            </a:extLst>
          </xdr:cNvPr>
          <xdr:cNvSpPr/>
        </xdr:nvSpPr>
        <xdr:spPr>
          <a:xfrm>
            <a:off x="8828810" y="959920"/>
            <a:ext cx="3415146" cy="83548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5" name="Rectangle: Rounded Corners 34">
            <a:extLst>
              <a:ext uri="{FF2B5EF4-FFF2-40B4-BE49-F238E27FC236}">
                <a16:creationId xmlns:a16="http://schemas.microsoft.com/office/drawing/2014/main" id="{B676EA07-DE5D-D3D7-CA31-2B7FDE19F6E8}"/>
              </a:ext>
            </a:extLst>
          </xdr:cNvPr>
          <xdr:cNvSpPr/>
        </xdr:nvSpPr>
        <xdr:spPr>
          <a:xfrm>
            <a:off x="8837470" y="951261"/>
            <a:ext cx="670214" cy="861456"/>
          </a:xfrm>
          <a:prstGeom prst="roundRect">
            <a:avLst/>
          </a:prstGeom>
          <a:solidFill>
            <a:schemeClr val="accent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6" name="TextBox 35">
            <a:extLst>
              <a:ext uri="{FF2B5EF4-FFF2-40B4-BE49-F238E27FC236}">
                <a16:creationId xmlns:a16="http://schemas.microsoft.com/office/drawing/2014/main" id="{296A7F4D-DFD5-22AE-296B-B87A7CE9C87B}"/>
              </a:ext>
            </a:extLst>
          </xdr:cNvPr>
          <xdr:cNvSpPr txBox="1"/>
        </xdr:nvSpPr>
        <xdr:spPr>
          <a:xfrm>
            <a:off x="9715498" y="1055170"/>
            <a:ext cx="2204607" cy="274866"/>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cap="none" spc="0">
                <a:ln w="0"/>
                <a:solidFill>
                  <a:schemeClr val="accent1"/>
                </a:solidFill>
                <a:effectLst>
                  <a:outerShdw blurRad="38100" dist="25400" dir="5400000" algn="ctr" rotWithShape="0">
                    <a:srgbClr val="6E747A">
                      <a:alpha val="43000"/>
                    </a:srgbClr>
                  </a:outerShdw>
                </a:effectLst>
              </a:rPr>
              <a:t> </a:t>
            </a:r>
            <a:r>
              <a:rPr lang="en-US" sz="1500" b="1" cap="none" spc="0">
                <a:ln w="0">
                  <a:solidFill>
                    <a:schemeClr val="tx2"/>
                  </a:solidFill>
                </a:ln>
                <a:solidFill>
                  <a:schemeClr val="tx2"/>
                </a:solidFill>
                <a:effectLst>
                  <a:outerShdw blurRad="38100" dist="25400" dir="5400000" algn="ctr" rotWithShape="0">
                    <a:srgbClr val="6E747A">
                      <a:alpha val="43000"/>
                    </a:srgbClr>
                  </a:outerShdw>
                </a:effectLst>
              </a:rPr>
              <a:t>DOCUMENTS OVERDUE</a:t>
            </a:r>
          </a:p>
        </xdr:txBody>
      </xdr:sp>
      <xdr:sp macro="" textlink="">
        <xdr:nvSpPr>
          <xdr:cNvPr id="37" name="TextBox 36">
            <a:extLst>
              <a:ext uri="{FF2B5EF4-FFF2-40B4-BE49-F238E27FC236}">
                <a16:creationId xmlns:a16="http://schemas.microsoft.com/office/drawing/2014/main" id="{A6ED223D-91AD-78CF-1091-DBC6DEF8EA72}"/>
              </a:ext>
            </a:extLst>
          </xdr:cNvPr>
          <xdr:cNvSpPr txBox="1"/>
        </xdr:nvSpPr>
        <xdr:spPr>
          <a:xfrm>
            <a:off x="10536382" y="1425284"/>
            <a:ext cx="497033" cy="3008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i="0" u="none" strike="noStrike" cap="none" spc="0">
                <a:ln w="0">
                  <a:solidFill>
                    <a:schemeClr val="tx2"/>
                  </a:solidFill>
                </a:ln>
                <a:solidFill>
                  <a:schemeClr val="tx2"/>
                </a:solidFill>
                <a:effectLst>
                  <a:outerShdw blurRad="38100" dist="25400" dir="5400000" algn="ctr" rotWithShape="0">
                    <a:srgbClr val="6E747A">
                      <a:alpha val="43000"/>
                    </a:srgbClr>
                  </a:outerShdw>
                </a:effectLst>
                <a:latin typeface="+mn-lt"/>
                <a:ea typeface="+mn-ea"/>
                <a:cs typeface="+mn-cs"/>
              </a:rPr>
              <a:t>64</a:t>
            </a:r>
            <a:endParaRPr lang="en-US" sz="1500">
              <a:ln w="0">
                <a:solidFill>
                  <a:schemeClr val="tx2"/>
                </a:solidFill>
              </a:ln>
              <a:solidFill>
                <a:schemeClr val="tx2"/>
              </a:solidFill>
            </a:endParaRPr>
          </a:p>
        </xdr:txBody>
      </xdr:sp>
      <xdr:pic>
        <xdr:nvPicPr>
          <xdr:cNvPr id="49" name="Graphic 48" descr="Daily calendar with solid fill">
            <a:extLst>
              <a:ext uri="{FF2B5EF4-FFF2-40B4-BE49-F238E27FC236}">
                <a16:creationId xmlns:a16="http://schemas.microsoft.com/office/drawing/2014/main" id="{604A280C-1571-2B4C-7DD9-62AA77A1DF6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863445" y="1046512"/>
            <a:ext cx="652897" cy="662298"/>
          </a:xfrm>
          <a:prstGeom prst="rect">
            <a:avLst/>
          </a:prstGeom>
        </xdr:spPr>
      </xdr:pic>
    </xdr:grpSp>
    <xdr:clientData/>
  </xdr:twoCellAnchor>
  <xdr:twoCellAnchor>
    <xdr:from>
      <xdr:col>3</xdr:col>
      <xdr:colOff>284306</xdr:colOff>
      <xdr:row>1</xdr:row>
      <xdr:rowOff>14430</xdr:rowOff>
    </xdr:from>
    <xdr:to>
      <xdr:col>21</xdr:col>
      <xdr:colOff>7937</xdr:colOff>
      <xdr:row>4</xdr:row>
      <xdr:rowOff>79374</xdr:rowOff>
    </xdr:to>
    <xdr:sp macro="" textlink="">
      <xdr:nvSpPr>
        <xdr:cNvPr id="50" name="TextBox 49">
          <a:extLst>
            <a:ext uri="{FF2B5EF4-FFF2-40B4-BE49-F238E27FC236}">
              <a16:creationId xmlns:a16="http://schemas.microsoft.com/office/drawing/2014/main" id="{408248C4-A37F-1E96-F59F-1219D43DE62C}"/>
            </a:ext>
          </a:extLst>
        </xdr:cNvPr>
        <xdr:cNvSpPr txBox="1"/>
      </xdr:nvSpPr>
      <xdr:spPr>
        <a:xfrm>
          <a:off x="2117869" y="196993"/>
          <a:ext cx="10725006" cy="6126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cap="none" spc="0">
              <a:ln w="0">
                <a:solidFill>
                  <a:schemeClr val="tx2"/>
                </a:solidFill>
              </a:ln>
              <a:solidFill>
                <a:schemeClr val="tx2"/>
              </a:solidFill>
              <a:effectLst>
                <a:outerShdw blurRad="38100" dist="25400" dir="5400000" algn="ctr" rotWithShape="0">
                  <a:srgbClr val="6E747A">
                    <a:alpha val="43000"/>
                  </a:srgbClr>
                </a:outerShdw>
              </a:effectLst>
            </a:rPr>
            <a:t>ABC PROJECT -  DOCUMENT MANAGEMENT DASHBOARD</a:t>
          </a:r>
        </a:p>
      </xdr:txBody>
    </xdr:sp>
    <xdr:clientData/>
  </xdr:twoCellAnchor>
  <xdr:twoCellAnchor>
    <xdr:from>
      <xdr:col>0</xdr:col>
      <xdr:colOff>106384</xdr:colOff>
      <xdr:row>5</xdr:row>
      <xdr:rowOff>167490</xdr:rowOff>
    </xdr:from>
    <xdr:to>
      <xdr:col>6</xdr:col>
      <xdr:colOff>556656</xdr:colOff>
      <xdr:row>10</xdr:row>
      <xdr:rowOff>69026</xdr:rowOff>
    </xdr:to>
    <xdr:grpSp>
      <xdr:nvGrpSpPr>
        <xdr:cNvPr id="78" name="Group 77">
          <a:extLst>
            <a:ext uri="{FF2B5EF4-FFF2-40B4-BE49-F238E27FC236}">
              <a16:creationId xmlns:a16="http://schemas.microsoft.com/office/drawing/2014/main" id="{31917C72-6389-2BD3-E109-42BE5820FA04}"/>
            </a:ext>
          </a:extLst>
        </xdr:cNvPr>
        <xdr:cNvGrpSpPr/>
      </xdr:nvGrpSpPr>
      <xdr:grpSpPr>
        <a:xfrm>
          <a:off x="106384" y="1106186"/>
          <a:ext cx="4094620" cy="840231"/>
          <a:chOff x="51955" y="951262"/>
          <a:chExt cx="4107872" cy="826821"/>
        </a:xfrm>
      </xdr:grpSpPr>
      <xdr:sp macro="" textlink="">
        <xdr:nvSpPr>
          <xdr:cNvPr id="9" name="Rectangle: Rounded Corners 8">
            <a:extLst>
              <a:ext uri="{FF2B5EF4-FFF2-40B4-BE49-F238E27FC236}">
                <a16:creationId xmlns:a16="http://schemas.microsoft.com/office/drawing/2014/main" id="{E6FB5A3D-6581-DF0C-6B19-C19404DD3492}"/>
              </a:ext>
            </a:extLst>
          </xdr:cNvPr>
          <xdr:cNvSpPr/>
        </xdr:nvSpPr>
        <xdr:spPr>
          <a:xfrm>
            <a:off x="51955" y="959923"/>
            <a:ext cx="4107872" cy="809501"/>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TextBox 10">
            <a:extLst>
              <a:ext uri="{FF2B5EF4-FFF2-40B4-BE49-F238E27FC236}">
                <a16:creationId xmlns:a16="http://schemas.microsoft.com/office/drawing/2014/main" id="{59172DAE-7E80-FB15-79CA-02BFFD21AC27}"/>
              </a:ext>
            </a:extLst>
          </xdr:cNvPr>
          <xdr:cNvSpPr txBox="1"/>
        </xdr:nvSpPr>
        <xdr:spPr>
          <a:xfrm>
            <a:off x="981942" y="1110343"/>
            <a:ext cx="1863436" cy="323603"/>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cap="none" spc="0">
                <a:ln w="0">
                  <a:solidFill>
                    <a:schemeClr val="tx2"/>
                  </a:solidFill>
                </a:ln>
                <a:solidFill>
                  <a:schemeClr val="tx2"/>
                </a:solidFill>
                <a:effectLst>
                  <a:outerShdw blurRad="38100" dist="19050" dir="2700000" algn="tl" rotWithShape="0">
                    <a:schemeClr val="dk1">
                      <a:alpha val="40000"/>
                    </a:schemeClr>
                  </a:outerShdw>
                </a:effectLst>
              </a:rPr>
              <a:t>TOTAL DOCUMENTS</a:t>
            </a:r>
          </a:p>
        </xdr:txBody>
      </xdr:sp>
      <xdr:sp macro="" textlink="">
        <xdr:nvSpPr>
          <xdr:cNvPr id="16" name="TextBox 15">
            <a:extLst>
              <a:ext uri="{FF2B5EF4-FFF2-40B4-BE49-F238E27FC236}">
                <a16:creationId xmlns:a16="http://schemas.microsoft.com/office/drawing/2014/main" id="{18E07F39-839F-DC28-7822-C2487E462A8C}"/>
              </a:ext>
            </a:extLst>
          </xdr:cNvPr>
          <xdr:cNvSpPr txBox="1"/>
        </xdr:nvSpPr>
        <xdr:spPr>
          <a:xfrm>
            <a:off x="1556904" y="1425286"/>
            <a:ext cx="1478974" cy="2402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i="0" u="none" strike="noStrike" cap="none" spc="0">
                <a:ln w="0">
                  <a:solidFill>
                    <a:schemeClr val="tx2"/>
                  </a:solidFill>
                </a:ln>
                <a:solidFill>
                  <a:schemeClr val="tx2"/>
                </a:solidFill>
                <a:effectLst>
                  <a:outerShdw blurRad="38100" dist="25400" dir="5400000" algn="ctr" rotWithShape="0">
                    <a:srgbClr val="6E747A">
                      <a:alpha val="43000"/>
                    </a:srgbClr>
                  </a:outerShdw>
                </a:effectLst>
                <a:latin typeface="+mn-lt"/>
                <a:ea typeface="+mn-ea"/>
                <a:cs typeface="+mn-cs"/>
              </a:rPr>
              <a:t>500</a:t>
            </a:r>
            <a:r>
              <a:rPr lang="en-US" sz="1500" b="1">
                <a:ln>
                  <a:solidFill>
                    <a:schemeClr val="tx2"/>
                  </a:solidFill>
                </a:ln>
                <a:solidFill>
                  <a:schemeClr val="tx2"/>
                </a:solidFill>
                <a:effectLst/>
              </a:rPr>
              <a:t> </a:t>
            </a:r>
            <a:endParaRPr lang="en-US" sz="1500" b="1">
              <a:ln>
                <a:solidFill>
                  <a:schemeClr val="tx2"/>
                </a:solidFill>
              </a:ln>
              <a:solidFill>
                <a:schemeClr val="tx2"/>
              </a:solidFill>
            </a:endParaRPr>
          </a:p>
        </xdr:txBody>
      </xdr:sp>
      <xdr:sp macro="" textlink="">
        <xdr:nvSpPr>
          <xdr:cNvPr id="10" name="Rectangle: Rounded Corners 9">
            <a:extLst>
              <a:ext uri="{FF2B5EF4-FFF2-40B4-BE49-F238E27FC236}">
                <a16:creationId xmlns:a16="http://schemas.microsoft.com/office/drawing/2014/main" id="{4E080C82-0AD8-EB58-DB8D-A30015B507FF}"/>
              </a:ext>
            </a:extLst>
          </xdr:cNvPr>
          <xdr:cNvSpPr/>
        </xdr:nvSpPr>
        <xdr:spPr>
          <a:xfrm>
            <a:off x="60613" y="951262"/>
            <a:ext cx="670214" cy="826821"/>
          </a:xfrm>
          <a:prstGeom prst="roundRect">
            <a:avLst/>
          </a:prstGeom>
          <a:solidFill>
            <a:schemeClr val="accent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68" name="Graphic 67" descr="Document with solid fill">
            <a:extLst>
              <a:ext uri="{FF2B5EF4-FFF2-40B4-BE49-F238E27FC236}">
                <a16:creationId xmlns:a16="http://schemas.microsoft.com/office/drawing/2014/main" id="{6C169594-D47B-8ED9-34EA-DB3E06397FF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3908" y="1089808"/>
            <a:ext cx="626919" cy="636320"/>
          </a:xfrm>
          <a:prstGeom prst="rect">
            <a:avLst/>
          </a:prstGeom>
        </xdr:spPr>
      </xdr:pic>
    </xdr:grpSp>
    <xdr:clientData/>
  </xdr:twoCellAnchor>
  <xdr:twoCellAnchor>
    <xdr:from>
      <xdr:col>0</xdr:col>
      <xdr:colOff>556728</xdr:colOff>
      <xdr:row>11</xdr:row>
      <xdr:rowOff>509</xdr:rowOff>
    </xdr:from>
    <xdr:to>
      <xdr:col>9</xdr:col>
      <xdr:colOff>539411</xdr:colOff>
      <xdr:row>27</xdr:row>
      <xdr:rowOff>61122</xdr:rowOff>
    </xdr:to>
    <xdr:graphicFrame macro="">
      <xdr:nvGraphicFramePr>
        <xdr:cNvPr id="69" name="Chart 68">
          <a:extLst>
            <a:ext uri="{FF2B5EF4-FFF2-40B4-BE49-F238E27FC236}">
              <a16:creationId xmlns:a16="http://schemas.microsoft.com/office/drawing/2014/main" id="{8775ACF9-8A0E-498B-A7C1-314237691E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56030</xdr:colOff>
      <xdr:row>27</xdr:row>
      <xdr:rowOff>123266</xdr:rowOff>
    </xdr:from>
    <xdr:to>
      <xdr:col>19</xdr:col>
      <xdr:colOff>324971</xdr:colOff>
      <xdr:row>45</xdr:row>
      <xdr:rowOff>115422</xdr:rowOff>
    </xdr:to>
    <xdr:graphicFrame macro="">
      <xdr:nvGraphicFramePr>
        <xdr:cNvPr id="70" name="Chart 69">
          <a:extLst>
            <a:ext uri="{FF2B5EF4-FFF2-40B4-BE49-F238E27FC236}">
              <a16:creationId xmlns:a16="http://schemas.microsoft.com/office/drawing/2014/main" id="{791E9199-73A5-4B30-A3D3-E4ADFCCA57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571500</xdr:colOff>
      <xdr:row>11</xdr:row>
      <xdr:rowOff>11206</xdr:rowOff>
    </xdr:from>
    <xdr:to>
      <xdr:col>19</xdr:col>
      <xdr:colOff>145676</xdr:colOff>
      <xdr:row>27</xdr:row>
      <xdr:rowOff>100851</xdr:rowOff>
    </xdr:to>
    <xdr:graphicFrame macro="">
      <xdr:nvGraphicFramePr>
        <xdr:cNvPr id="71" name="Chart 70">
          <a:extLst>
            <a:ext uri="{FF2B5EF4-FFF2-40B4-BE49-F238E27FC236}">
              <a16:creationId xmlns:a16="http://schemas.microsoft.com/office/drawing/2014/main" id="{6F0DD042-08B5-4CDD-930F-91163607F7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20</xdr:col>
      <xdr:colOff>85753</xdr:colOff>
      <xdr:row>10</xdr:row>
      <xdr:rowOff>182322</xdr:rowOff>
    </xdr:from>
    <xdr:to>
      <xdr:col>23</xdr:col>
      <xdr:colOff>2106</xdr:colOff>
      <xdr:row>20</xdr:row>
      <xdr:rowOff>155210</xdr:rowOff>
    </xdr:to>
    <mc:AlternateContent xmlns:mc="http://schemas.openxmlformats.org/markup-compatibility/2006" xmlns:a14="http://schemas.microsoft.com/office/drawing/2010/main">
      <mc:Choice Requires="a14">
        <xdr:graphicFrame macro="">
          <xdr:nvGraphicFramePr>
            <xdr:cNvPr id="72" name="Status 2">
              <a:extLst>
                <a:ext uri="{FF2B5EF4-FFF2-40B4-BE49-F238E27FC236}">
                  <a16:creationId xmlns:a16="http://schemas.microsoft.com/office/drawing/2014/main" id="{C21FD227-8920-454C-A136-D5C21CF1452B}"/>
                </a:ext>
              </a:extLst>
            </xdr:cNvPr>
            <xdr:cNvGraphicFramePr/>
          </xdr:nvGraphicFramePr>
          <xdr:xfrm>
            <a:off x="0" y="0"/>
            <a:ext cx="0" cy="0"/>
          </xdr:xfrm>
          <a:graphic>
            <a:graphicData uri="http://schemas.microsoft.com/office/drawing/2010/slicer">
              <sle:slicer xmlns:sle="http://schemas.microsoft.com/office/drawing/2010/slicer" name="Status 2"/>
            </a:graphicData>
          </a:graphic>
        </xdr:graphicFrame>
      </mc:Choice>
      <mc:Fallback xmlns="">
        <xdr:sp macro="" textlink="">
          <xdr:nvSpPr>
            <xdr:cNvPr id="0" name=""/>
            <xdr:cNvSpPr>
              <a:spLocks noTextEdit="1"/>
            </xdr:cNvSpPr>
          </xdr:nvSpPr>
          <xdr:spPr>
            <a:xfrm>
              <a:off x="12233579" y="2059713"/>
              <a:ext cx="1738527" cy="18502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94108</xdr:colOff>
      <xdr:row>21</xdr:row>
      <xdr:rowOff>65666</xdr:rowOff>
    </xdr:from>
    <xdr:to>
      <xdr:col>23</xdr:col>
      <xdr:colOff>12992</xdr:colOff>
      <xdr:row>32</xdr:row>
      <xdr:rowOff>127118</xdr:rowOff>
    </xdr:to>
    <mc:AlternateContent xmlns:mc="http://schemas.openxmlformats.org/markup-compatibility/2006" xmlns:a14="http://schemas.microsoft.com/office/drawing/2010/main">
      <mc:Choice Requires="a14">
        <xdr:graphicFrame macro="">
          <xdr:nvGraphicFramePr>
            <xdr:cNvPr id="73" name="Discipline 2">
              <a:extLst>
                <a:ext uri="{FF2B5EF4-FFF2-40B4-BE49-F238E27FC236}">
                  <a16:creationId xmlns:a16="http://schemas.microsoft.com/office/drawing/2014/main" id="{7E21B392-DA93-4333-814E-D6555D019D18}"/>
                </a:ext>
              </a:extLst>
            </xdr:cNvPr>
            <xdr:cNvGraphicFramePr/>
          </xdr:nvGraphicFramePr>
          <xdr:xfrm>
            <a:off x="0" y="0"/>
            <a:ext cx="0" cy="0"/>
          </xdr:xfrm>
          <a:graphic>
            <a:graphicData uri="http://schemas.microsoft.com/office/drawing/2010/slicer">
              <sle:slicer xmlns:sle="http://schemas.microsoft.com/office/drawing/2010/slicer" name="Discipline 2"/>
            </a:graphicData>
          </a:graphic>
        </xdr:graphicFrame>
      </mc:Choice>
      <mc:Fallback xmlns="">
        <xdr:sp macro="" textlink="">
          <xdr:nvSpPr>
            <xdr:cNvPr id="0" name=""/>
            <xdr:cNvSpPr>
              <a:spLocks noTextEdit="1"/>
            </xdr:cNvSpPr>
          </xdr:nvSpPr>
          <xdr:spPr>
            <a:xfrm>
              <a:off x="12241934" y="4008188"/>
              <a:ext cx="1741058" cy="21265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83222</xdr:colOff>
      <xdr:row>32</xdr:row>
      <xdr:rowOff>179791</xdr:rowOff>
    </xdr:from>
    <xdr:to>
      <xdr:col>23</xdr:col>
      <xdr:colOff>14398</xdr:colOff>
      <xdr:row>41</xdr:row>
      <xdr:rowOff>130630</xdr:rowOff>
    </xdr:to>
    <mc:AlternateContent xmlns:mc="http://schemas.openxmlformats.org/markup-compatibility/2006" xmlns:a14="http://schemas.microsoft.com/office/drawing/2010/main">
      <mc:Choice Requires="a14">
        <xdr:graphicFrame macro="">
          <xdr:nvGraphicFramePr>
            <xdr:cNvPr id="74" name="Revision 2">
              <a:extLst>
                <a:ext uri="{FF2B5EF4-FFF2-40B4-BE49-F238E27FC236}">
                  <a16:creationId xmlns:a16="http://schemas.microsoft.com/office/drawing/2014/main" id="{C5D05CDB-336C-42C6-98F3-C76A7D493561}"/>
                </a:ext>
              </a:extLst>
            </xdr:cNvPr>
            <xdr:cNvGraphicFramePr/>
          </xdr:nvGraphicFramePr>
          <xdr:xfrm>
            <a:off x="0" y="0"/>
            <a:ext cx="0" cy="0"/>
          </xdr:xfrm>
          <a:graphic>
            <a:graphicData uri="http://schemas.microsoft.com/office/drawing/2010/slicer">
              <sle:slicer xmlns:sle="http://schemas.microsoft.com/office/drawing/2010/slicer" name="Revision 2"/>
            </a:graphicData>
          </a:graphic>
        </xdr:graphicFrame>
      </mc:Choice>
      <mc:Fallback xmlns="">
        <xdr:sp macro="" textlink="">
          <xdr:nvSpPr>
            <xdr:cNvPr id="0" name=""/>
            <xdr:cNvSpPr>
              <a:spLocks noTextEdit="1"/>
            </xdr:cNvSpPr>
          </xdr:nvSpPr>
          <xdr:spPr>
            <a:xfrm>
              <a:off x="12231048" y="6187443"/>
              <a:ext cx="1753350" cy="16404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namul Hasan" refreshedDate="45972.321694212966" createdVersion="8" refreshedVersion="8" minRefreshableVersion="3" recordCount="500" xr:uid="{E8DA8C8E-88F0-456F-A44D-C576EA3E81D0}">
  <cacheSource type="worksheet">
    <worksheetSource ref="A1:H501" sheet="Document_Data"/>
  </cacheSource>
  <cacheFields count="8">
    <cacheField name="Doc No" numFmtId="0">
      <sharedItems/>
    </cacheField>
    <cacheField name="Title" numFmtId="0">
      <sharedItems/>
    </cacheField>
    <cacheField name="Discipline" numFmtId="0">
      <sharedItems count="6">
        <s v="Plumbing"/>
        <s v="Electrical"/>
        <s v="Mechanical"/>
        <s v="Architectural"/>
        <s v="Civil"/>
        <s v="Architecture"/>
      </sharedItems>
    </cacheField>
    <cacheField name="Revision" numFmtId="0">
      <sharedItems count="4">
        <s v="A"/>
        <s v="C"/>
        <s v="D"/>
        <s v="B"/>
      </sharedItems>
    </cacheField>
    <cacheField name="Issued Date" numFmtId="164">
      <sharedItems containsSemiMixedTypes="0" containsNonDate="0" containsDate="1" containsString="0" minDate="2025-01-01T00:00:00" maxDate="2025-10-29T00:00:00"/>
    </cacheField>
    <cacheField name="Approved Date" numFmtId="0">
      <sharedItems containsNonDate="0" containsDate="1" containsString="0" containsBlank="1" minDate="2025-01-05T00:00:00" maxDate="2025-11-13T00:00:00"/>
    </cacheField>
    <cacheField name="Status" numFmtId="0">
      <sharedItems count="5">
        <s v="Pending"/>
        <s v="Rejected"/>
        <s v="Approved"/>
        <s v="For Review"/>
        <s v="Issued for Construction"/>
      </sharedItems>
    </cacheField>
    <cacheField name="Days Overdue" numFmtId="0">
      <sharedItems containsSemiMixedTypes="0" containsString="0" containsNumber="1" containsInteger="1" minValue="0" maxValue="281"/>
    </cacheField>
  </cacheFields>
  <extLst>
    <ext xmlns:x14="http://schemas.microsoft.com/office/spreadsheetml/2009/9/main" uri="{725AE2AE-9491-48be-B2B4-4EB974FC3084}">
      <x14:pivotCacheDefinition pivotCacheId="4558996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DRG-001"/>
    <s v="Drawing 1"/>
    <x v="0"/>
    <x v="0"/>
    <d v="2025-04-13T00:00:00"/>
    <d v="2025-04-22T00:00:00"/>
    <x v="0"/>
    <n v="211"/>
  </r>
  <r>
    <s v="DRG-002"/>
    <s v="Drawing 2"/>
    <x v="0"/>
    <x v="1"/>
    <d v="2025-05-15T00:00:00"/>
    <d v="2025-05-20T00:00:00"/>
    <x v="1"/>
    <n v="0"/>
  </r>
  <r>
    <s v="DRG-003"/>
    <s v="Drawing 3"/>
    <x v="1"/>
    <x v="0"/>
    <d v="2025-04-21T00:00:00"/>
    <d v="2025-04-26T00:00:00"/>
    <x v="1"/>
    <n v="0"/>
  </r>
  <r>
    <s v="DRG-004"/>
    <s v="Drawing 4"/>
    <x v="2"/>
    <x v="0"/>
    <d v="2025-06-16T00:00:00"/>
    <m/>
    <x v="1"/>
    <n v="0"/>
  </r>
  <r>
    <s v="DRG-005"/>
    <s v="Drawing 5"/>
    <x v="3"/>
    <x v="0"/>
    <d v="2025-09-13T00:00:00"/>
    <m/>
    <x v="1"/>
    <n v="0"/>
  </r>
  <r>
    <s v="DRG-006"/>
    <s v="Drawing 6"/>
    <x v="4"/>
    <x v="0"/>
    <d v="2025-02-14T00:00:00"/>
    <d v="2025-02-20T00:00:00"/>
    <x v="1"/>
    <n v="0"/>
  </r>
  <r>
    <s v="DRG-007"/>
    <s v="Drawing 7"/>
    <x v="4"/>
    <x v="0"/>
    <d v="2025-10-13T00:00:00"/>
    <d v="2025-10-22T00:00:00"/>
    <x v="2"/>
    <n v="0"/>
  </r>
  <r>
    <s v="DRG-008"/>
    <s v="Drawing 8"/>
    <x v="2"/>
    <x v="0"/>
    <d v="2025-01-14T00:00:00"/>
    <m/>
    <x v="1"/>
    <n v="0"/>
  </r>
  <r>
    <s v="DRG-009"/>
    <s v="Drawing 9"/>
    <x v="2"/>
    <x v="0"/>
    <d v="2025-04-06T00:00:00"/>
    <d v="2025-04-14T00:00:00"/>
    <x v="2"/>
    <n v="0"/>
  </r>
  <r>
    <s v="DRG-010"/>
    <s v="Drawing 10"/>
    <x v="2"/>
    <x v="0"/>
    <d v="2025-10-17T00:00:00"/>
    <d v="2025-10-25T00:00:00"/>
    <x v="0"/>
    <n v="24"/>
  </r>
  <r>
    <s v="DRG-011"/>
    <s v="Drawing 11"/>
    <x v="3"/>
    <x v="2"/>
    <d v="2025-03-14T00:00:00"/>
    <d v="2025-03-19T00:00:00"/>
    <x v="2"/>
    <n v="0"/>
  </r>
  <r>
    <s v="DRG-012"/>
    <s v="Drawing 12"/>
    <x v="1"/>
    <x v="1"/>
    <d v="2025-07-04T00:00:00"/>
    <d v="2025-07-08T00:00:00"/>
    <x v="0"/>
    <n v="129"/>
  </r>
  <r>
    <s v="DRG-013"/>
    <s v="Drawing 13"/>
    <x v="2"/>
    <x v="1"/>
    <d v="2025-08-15T00:00:00"/>
    <d v="2025-08-30T00:00:00"/>
    <x v="1"/>
    <n v="0"/>
  </r>
  <r>
    <s v="DRG-014"/>
    <s v="Drawing 14"/>
    <x v="4"/>
    <x v="1"/>
    <d v="2025-05-17T00:00:00"/>
    <d v="2025-05-28T00:00:00"/>
    <x v="0"/>
    <n v="177"/>
  </r>
  <r>
    <s v="DRG-015"/>
    <s v="Drawing 15"/>
    <x v="1"/>
    <x v="1"/>
    <d v="2025-09-02T00:00:00"/>
    <d v="2025-09-17T00:00:00"/>
    <x v="0"/>
    <n v="69"/>
  </r>
  <r>
    <s v="DRG-016"/>
    <s v="Drawing 16"/>
    <x v="0"/>
    <x v="0"/>
    <d v="2025-05-22T00:00:00"/>
    <d v="2025-05-29T00:00:00"/>
    <x v="2"/>
    <n v="0"/>
  </r>
  <r>
    <s v="DRG-017"/>
    <s v="Drawing 17"/>
    <x v="3"/>
    <x v="2"/>
    <d v="2025-04-17T00:00:00"/>
    <d v="2025-04-23T00:00:00"/>
    <x v="2"/>
    <n v="0"/>
  </r>
  <r>
    <s v="DRG-018"/>
    <s v="Drawing 18"/>
    <x v="1"/>
    <x v="0"/>
    <d v="2025-05-13T00:00:00"/>
    <d v="2025-05-22T00:00:00"/>
    <x v="2"/>
    <n v="0"/>
  </r>
  <r>
    <s v="DRG-019"/>
    <s v="Drawing 19"/>
    <x v="2"/>
    <x v="2"/>
    <d v="2025-06-21T00:00:00"/>
    <d v="2025-06-28T00:00:00"/>
    <x v="2"/>
    <n v="0"/>
  </r>
  <r>
    <s v="DRG-020"/>
    <s v="Drawing 20"/>
    <x v="1"/>
    <x v="1"/>
    <d v="2025-03-27T00:00:00"/>
    <d v="2025-04-09T00:00:00"/>
    <x v="2"/>
    <n v="0"/>
  </r>
  <r>
    <s v="DRG-021"/>
    <s v="Drawing 21"/>
    <x v="3"/>
    <x v="0"/>
    <d v="2025-07-07T00:00:00"/>
    <m/>
    <x v="1"/>
    <n v="0"/>
  </r>
  <r>
    <s v="DRG-022"/>
    <s v="Drawing 22"/>
    <x v="1"/>
    <x v="1"/>
    <d v="2025-04-28T00:00:00"/>
    <m/>
    <x v="1"/>
    <n v="0"/>
  </r>
  <r>
    <s v="DRG-023"/>
    <s v="Drawing 23"/>
    <x v="4"/>
    <x v="3"/>
    <d v="2025-04-17T00:00:00"/>
    <d v="2025-04-24T00:00:00"/>
    <x v="0"/>
    <n v="207"/>
  </r>
  <r>
    <s v="DRG-024"/>
    <s v="Drawing 24"/>
    <x v="4"/>
    <x v="0"/>
    <d v="2025-06-04T00:00:00"/>
    <d v="2025-06-15T00:00:00"/>
    <x v="0"/>
    <n v="159"/>
  </r>
  <r>
    <s v="DRG-025"/>
    <s v="Drawing 25"/>
    <x v="0"/>
    <x v="0"/>
    <d v="2025-05-26T00:00:00"/>
    <m/>
    <x v="0"/>
    <n v="168"/>
  </r>
  <r>
    <s v="DRG-026"/>
    <s v="Drawing 26"/>
    <x v="0"/>
    <x v="1"/>
    <d v="2025-09-30T00:00:00"/>
    <m/>
    <x v="0"/>
    <n v="41"/>
  </r>
  <r>
    <s v="DRG-027"/>
    <s v="Drawing 27"/>
    <x v="0"/>
    <x v="3"/>
    <d v="2025-10-20T00:00:00"/>
    <d v="2025-11-02T00:00:00"/>
    <x v="0"/>
    <n v="21"/>
  </r>
  <r>
    <s v="DRG-028"/>
    <s v="Drawing 28"/>
    <x v="0"/>
    <x v="3"/>
    <d v="2025-05-08T00:00:00"/>
    <d v="2025-05-17T00:00:00"/>
    <x v="1"/>
    <n v="0"/>
  </r>
  <r>
    <s v="DRG-029"/>
    <s v="Drawing 29"/>
    <x v="0"/>
    <x v="0"/>
    <d v="2025-06-06T00:00:00"/>
    <d v="2025-06-13T00:00:00"/>
    <x v="1"/>
    <n v="0"/>
  </r>
  <r>
    <s v="DRG-030"/>
    <s v="Drawing 30"/>
    <x v="0"/>
    <x v="2"/>
    <d v="2025-09-08T00:00:00"/>
    <d v="2025-09-13T00:00:00"/>
    <x v="1"/>
    <n v="0"/>
  </r>
  <r>
    <s v="DRG-031"/>
    <s v="Drawing 31"/>
    <x v="2"/>
    <x v="3"/>
    <d v="2025-01-24T00:00:00"/>
    <m/>
    <x v="1"/>
    <n v="0"/>
  </r>
  <r>
    <s v="DRG-032"/>
    <s v="Drawing 32"/>
    <x v="1"/>
    <x v="0"/>
    <d v="2025-09-19T00:00:00"/>
    <d v="2025-09-21T00:00:00"/>
    <x v="1"/>
    <n v="0"/>
  </r>
  <r>
    <s v="DRG-033"/>
    <s v="Drawing 33"/>
    <x v="1"/>
    <x v="2"/>
    <d v="2025-03-16T00:00:00"/>
    <d v="2025-03-23T00:00:00"/>
    <x v="0"/>
    <n v="239"/>
  </r>
  <r>
    <s v="DRG-034"/>
    <s v="Drawing 34"/>
    <x v="0"/>
    <x v="1"/>
    <d v="2025-08-04T00:00:00"/>
    <d v="2025-08-10T00:00:00"/>
    <x v="1"/>
    <n v="0"/>
  </r>
  <r>
    <s v="DRG-035"/>
    <s v="Drawing 35"/>
    <x v="1"/>
    <x v="2"/>
    <d v="2025-06-03T00:00:00"/>
    <d v="2025-06-05T00:00:00"/>
    <x v="2"/>
    <n v="0"/>
  </r>
  <r>
    <s v="DRG-036"/>
    <s v="Drawing 36"/>
    <x v="4"/>
    <x v="3"/>
    <d v="2025-09-03T00:00:00"/>
    <d v="2025-09-04T00:00:00"/>
    <x v="1"/>
    <n v="0"/>
  </r>
  <r>
    <s v="DRG-037"/>
    <s v="Drawing 37"/>
    <x v="4"/>
    <x v="2"/>
    <d v="2025-08-02T00:00:00"/>
    <d v="2025-08-10T00:00:00"/>
    <x v="0"/>
    <n v="100"/>
  </r>
  <r>
    <s v="DRG-038"/>
    <s v="Drawing 38"/>
    <x v="0"/>
    <x v="0"/>
    <d v="2025-03-14T00:00:00"/>
    <d v="2025-03-27T00:00:00"/>
    <x v="0"/>
    <n v="241"/>
  </r>
  <r>
    <s v="DRG-039"/>
    <s v="Drawing 39"/>
    <x v="2"/>
    <x v="0"/>
    <d v="2025-03-15T00:00:00"/>
    <m/>
    <x v="0"/>
    <n v="240"/>
  </r>
  <r>
    <s v="DRG-040"/>
    <s v="Drawing 40"/>
    <x v="1"/>
    <x v="3"/>
    <d v="2025-07-23T00:00:00"/>
    <d v="2025-08-03T00:00:00"/>
    <x v="1"/>
    <n v="0"/>
  </r>
  <r>
    <s v="DRG-041"/>
    <s v="Drawing 41"/>
    <x v="1"/>
    <x v="0"/>
    <d v="2025-06-19T00:00:00"/>
    <m/>
    <x v="3"/>
    <n v="0"/>
  </r>
  <r>
    <s v="DRG-042"/>
    <s v="Drawing 42"/>
    <x v="2"/>
    <x v="1"/>
    <d v="2025-02-28T00:00:00"/>
    <d v="2025-03-05T00:00:00"/>
    <x v="4"/>
    <n v="0"/>
  </r>
  <r>
    <s v="DRG-043"/>
    <s v="Drawing 43"/>
    <x v="5"/>
    <x v="0"/>
    <d v="2025-08-20T00:00:00"/>
    <d v="2025-08-28T00:00:00"/>
    <x v="1"/>
    <n v="0"/>
  </r>
  <r>
    <s v="DRG-044"/>
    <s v="Drawing 44"/>
    <x v="2"/>
    <x v="1"/>
    <d v="2025-07-25T00:00:00"/>
    <d v="2025-08-03T00:00:00"/>
    <x v="2"/>
    <n v="0"/>
  </r>
  <r>
    <s v="DRG-045"/>
    <s v="Drawing 45"/>
    <x v="2"/>
    <x v="3"/>
    <d v="2025-03-12T00:00:00"/>
    <m/>
    <x v="1"/>
    <n v="0"/>
  </r>
  <r>
    <s v="DRG-046"/>
    <s v="Drawing 46"/>
    <x v="5"/>
    <x v="1"/>
    <d v="2025-08-18T00:00:00"/>
    <m/>
    <x v="1"/>
    <n v="0"/>
  </r>
  <r>
    <s v="DRG-047"/>
    <s v="Drawing 47"/>
    <x v="1"/>
    <x v="3"/>
    <d v="2025-04-25T00:00:00"/>
    <d v="2025-05-04T00:00:00"/>
    <x v="1"/>
    <n v="0"/>
  </r>
  <r>
    <s v="DRG-048"/>
    <s v="Drawing 48"/>
    <x v="2"/>
    <x v="1"/>
    <d v="2025-06-21T00:00:00"/>
    <d v="2025-06-25T00:00:00"/>
    <x v="0"/>
    <n v="141"/>
  </r>
  <r>
    <s v="DRG-049"/>
    <s v="Drawing 49"/>
    <x v="5"/>
    <x v="2"/>
    <d v="2025-01-03T00:00:00"/>
    <d v="2025-01-13T00:00:00"/>
    <x v="0"/>
    <n v="0"/>
  </r>
  <r>
    <s v="DRG-050"/>
    <s v="Drawing 50"/>
    <x v="1"/>
    <x v="0"/>
    <d v="2025-05-26T00:00:00"/>
    <m/>
    <x v="1"/>
    <n v="0"/>
  </r>
  <r>
    <s v="DRG-051"/>
    <s v="Drawing 51"/>
    <x v="4"/>
    <x v="3"/>
    <d v="2025-04-15T00:00:00"/>
    <m/>
    <x v="2"/>
    <n v="0"/>
  </r>
  <r>
    <s v="DRG-052"/>
    <s v="Drawing 52"/>
    <x v="0"/>
    <x v="0"/>
    <d v="2025-03-27T00:00:00"/>
    <m/>
    <x v="1"/>
    <n v="0"/>
  </r>
  <r>
    <s v="DRG-053"/>
    <s v="Drawing 53"/>
    <x v="1"/>
    <x v="1"/>
    <d v="2025-01-04T00:00:00"/>
    <d v="2025-01-16T00:00:00"/>
    <x v="4"/>
    <n v="0"/>
  </r>
  <r>
    <s v="DRG-054"/>
    <s v="Drawing 54"/>
    <x v="5"/>
    <x v="2"/>
    <d v="2025-08-20T00:00:00"/>
    <d v="2025-08-22T00:00:00"/>
    <x v="3"/>
    <n v="0"/>
  </r>
  <r>
    <s v="DRG-055"/>
    <s v="Drawing 55"/>
    <x v="0"/>
    <x v="0"/>
    <d v="2025-04-28T00:00:00"/>
    <d v="2025-04-28T00:00:00"/>
    <x v="4"/>
    <n v="0"/>
  </r>
  <r>
    <s v="DRG-056"/>
    <s v="Drawing 56"/>
    <x v="1"/>
    <x v="2"/>
    <d v="2025-05-27T00:00:00"/>
    <m/>
    <x v="3"/>
    <n v="0"/>
  </r>
  <r>
    <s v="DRG-057"/>
    <s v="Drawing 57"/>
    <x v="5"/>
    <x v="0"/>
    <d v="2025-03-23T00:00:00"/>
    <d v="2025-03-24T00:00:00"/>
    <x v="0"/>
    <n v="0"/>
  </r>
  <r>
    <s v="DRG-058"/>
    <s v="Drawing 58"/>
    <x v="0"/>
    <x v="0"/>
    <d v="2025-01-14T00:00:00"/>
    <d v="2025-01-14T00:00:00"/>
    <x v="4"/>
    <n v="0"/>
  </r>
  <r>
    <s v="DRG-059"/>
    <s v="Drawing 59"/>
    <x v="0"/>
    <x v="3"/>
    <d v="2025-08-07T00:00:00"/>
    <m/>
    <x v="2"/>
    <n v="0"/>
  </r>
  <r>
    <s v="DRG-060"/>
    <s v="Drawing 60"/>
    <x v="0"/>
    <x v="3"/>
    <d v="2025-10-28T00:00:00"/>
    <d v="2025-11-12T00:00:00"/>
    <x v="0"/>
    <n v="239"/>
  </r>
  <r>
    <s v="DRG-061"/>
    <s v="Drawing 61"/>
    <x v="4"/>
    <x v="3"/>
    <d v="2025-01-28T00:00:00"/>
    <m/>
    <x v="3"/>
    <n v="0"/>
  </r>
  <r>
    <s v="DRG-062"/>
    <s v="Drawing 62"/>
    <x v="0"/>
    <x v="1"/>
    <d v="2025-01-03T00:00:00"/>
    <d v="2025-01-13T00:00:00"/>
    <x v="2"/>
    <n v="0"/>
  </r>
  <r>
    <s v="DRG-063"/>
    <s v="Drawing 63"/>
    <x v="1"/>
    <x v="3"/>
    <d v="2025-02-20T00:00:00"/>
    <d v="2025-03-02T00:00:00"/>
    <x v="0"/>
    <n v="124"/>
  </r>
  <r>
    <s v="DRG-064"/>
    <s v="Drawing 64"/>
    <x v="5"/>
    <x v="2"/>
    <d v="2025-06-03T00:00:00"/>
    <d v="2025-06-09T00:00:00"/>
    <x v="0"/>
    <n v="0"/>
  </r>
  <r>
    <s v="DRG-065"/>
    <s v="Drawing 65"/>
    <x v="1"/>
    <x v="1"/>
    <d v="2025-05-31T00:00:00"/>
    <d v="2025-06-10T00:00:00"/>
    <x v="3"/>
    <n v="0"/>
  </r>
  <r>
    <s v="DRG-066"/>
    <s v="Drawing 66"/>
    <x v="2"/>
    <x v="0"/>
    <d v="2025-07-13T00:00:00"/>
    <m/>
    <x v="4"/>
    <n v="0"/>
  </r>
  <r>
    <s v="DRG-067"/>
    <s v="Drawing 67"/>
    <x v="4"/>
    <x v="1"/>
    <d v="2025-02-23T00:00:00"/>
    <d v="2025-03-09T00:00:00"/>
    <x v="4"/>
    <n v="0"/>
  </r>
  <r>
    <s v="DRG-068"/>
    <s v="Drawing 68"/>
    <x v="2"/>
    <x v="0"/>
    <d v="2025-07-05T00:00:00"/>
    <d v="2025-07-10T00:00:00"/>
    <x v="0"/>
    <n v="238"/>
  </r>
  <r>
    <s v="DRG-069"/>
    <s v="Drawing 69"/>
    <x v="1"/>
    <x v="2"/>
    <d v="2025-07-03T00:00:00"/>
    <d v="2025-07-18T00:00:00"/>
    <x v="3"/>
    <n v="0"/>
  </r>
  <r>
    <s v="DRG-070"/>
    <s v="Drawing 70"/>
    <x v="1"/>
    <x v="0"/>
    <d v="2025-02-03T00:00:00"/>
    <d v="2025-02-18T00:00:00"/>
    <x v="0"/>
    <n v="224"/>
  </r>
  <r>
    <s v="DRG-071"/>
    <s v="Drawing 71"/>
    <x v="4"/>
    <x v="1"/>
    <d v="2025-08-11T00:00:00"/>
    <d v="2025-08-13T00:00:00"/>
    <x v="4"/>
    <n v="0"/>
  </r>
  <r>
    <s v="DRG-072"/>
    <s v="Drawing 72"/>
    <x v="4"/>
    <x v="1"/>
    <d v="2025-08-16T00:00:00"/>
    <d v="2025-08-31T00:00:00"/>
    <x v="1"/>
    <n v="0"/>
  </r>
  <r>
    <s v="DRG-073"/>
    <s v="Drawing 73"/>
    <x v="4"/>
    <x v="1"/>
    <d v="2025-10-23T00:00:00"/>
    <d v="2025-11-03T00:00:00"/>
    <x v="2"/>
    <n v="0"/>
  </r>
  <r>
    <s v="DRG-074"/>
    <s v="Drawing 74"/>
    <x v="0"/>
    <x v="3"/>
    <d v="2025-08-28T00:00:00"/>
    <d v="2025-09-05T00:00:00"/>
    <x v="3"/>
    <n v="0"/>
  </r>
  <r>
    <s v="DRG-075"/>
    <s v="Drawing 75"/>
    <x v="4"/>
    <x v="2"/>
    <d v="2025-01-20T00:00:00"/>
    <d v="2025-01-20T00:00:00"/>
    <x v="1"/>
    <n v="0"/>
  </r>
  <r>
    <s v="DRG-076"/>
    <s v="Drawing 76"/>
    <x v="4"/>
    <x v="2"/>
    <d v="2025-03-24T00:00:00"/>
    <m/>
    <x v="3"/>
    <n v="0"/>
  </r>
  <r>
    <s v="DRG-077"/>
    <s v="Drawing 77"/>
    <x v="1"/>
    <x v="1"/>
    <d v="2025-01-12T00:00:00"/>
    <m/>
    <x v="0"/>
    <n v="200"/>
  </r>
  <r>
    <s v="DRG-078"/>
    <s v="Drawing 78"/>
    <x v="2"/>
    <x v="0"/>
    <d v="2025-09-24T00:00:00"/>
    <d v="2025-09-30T00:00:00"/>
    <x v="2"/>
    <n v="0"/>
  </r>
  <r>
    <s v="DRG-079"/>
    <s v="Drawing 79"/>
    <x v="1"/>
    <x v="2"/>
    <d v="2025-08-20T00:00:00"/>
    <d v="2025-08-28T00:00:00"/>
    <x v="0"/>
    <n v="280"/>
  </r>
  <r>
    <s v="DRG-080"/>
    <s v="Drawing 80"/>
    <x v="2"/>
    <x v="2"/>
    <d v="2025-01-29T00:00:00"/>
    <d v="2025-02-09T00:00:00"/>
    <x v="1"/>
    <n v="0"/>
  </r>
  <r>
    <s v="DRG-081"/>
    <s v="Drawing 81"/>
    <x v="5"/>
    <x v="3"/>
    <d v="2025-09-25T00:00:00"/>
    <d v="2025-10-02T00:00:00"/>
    <x v="3"/>
    <n v="0"/>
  </r>
  <r>
    <s v="DRG-082"/>
    <s v="Drawing 82"/>
    <x v="0"/>
    <x v="1"/>
    <d v="2025-10-20T00:00:00"/>
    <d v="2025-10-20T00:00:00"/>
    <x v="3"/>
    <n v="0"/>
  </r>
  <r>
    <s v="DRG-083"/>
    <s v="Drawing 83"/>
    <x v="1"/>
    <x v="3"/>
    <d v="2025-07-27T00:00:00"/>
    <d v="2025-08-03T00:00:00"/>
    <x v="1"/>
    <n v="0"/>
  </r>
  <r>
    <s v="DRG-084"/>
    <s v="Drawing 84"/>
    <x v="1"/>
    <x v="0"/>
    <d v="2025-09-08T00:00:00"/>
    <m/>
    <x v="0"/>
    <n v="138"/>
  </r>
  <r>
    <s v="DRG-085"/>
    <s v="Drawing 85"/>
    <x v="1"/>
    <x v="0"/>
    <d v="2025-05-28T00:00:00"/>
    <d v="2025-06-03T00:00:00"/>
    <x v="0"/>
    <n v="0"/>
  </r>
  <r>
    <s v="DRG-086"/>
    <s v="Drawing 86"/>
    <x v="0"/>
    <x v="3"/>
    <d v="2025-08-29T00:00:00"/>
    <d v="2025-09-04T00:00:00"/>
    <x v="3"/>
    <n v="0"/>
  </r>
  <r>
    <s v="DRG-087"/>
    <s v="Drawing 87"/>
    <x v="2"/>
    <x v="0"/>
    <d v="2025-10-11T00:00:00"/>
    <d v="2025-10-15T00:00:00"/>
    <x v="3"/>
    <n v="0"/>
  </r>
  <r>
    <s v="DRG-088"/>
    <s v="Drawing 88"/>
    <x v="1"/>
    <x v="3"/>
    <d v="2025-10-14T00:00:00"/>
    <d v="2025-10-14T00:00:00"/>
    <x v="2"/>
    <n v="0"/>
  </r>
  <r>
    <s v="DRG-089"/>
    <s v="Drawing 89"/>
    <x v="1"/>
    <x v="3"/>
    <d v="2025-09-30T00:00:00"/>
    <d v="2025-10-15T00:00:00"/>
    <x v="0"/>
    <n v="0"/>
  </r>
  <r>
    <s v="DRG-090"/>
    <s v="Drawing 90"/>
    <x v="4"/>
    <x v="0"/>
    <d v="2025-04-11T00:00:00"/>
    <m/>
    <x v="1"/>
    <n v="0"/>
  </r>
  <r>
    <s v="DRG-091"/>
    <s v="Drawing 91"/>
    <x v="0"/>
    <x v="0"/>
    <d v="2025-03-28T00:00:00"/>
    <d v="2025-04-12T00:00:00"/>
    <x v="3"/>
    <n v="0"/>
  </r>
  <r>
    <s v="DRG-092"/>
    <s v="Drawing 92"/>
    <x v="2"/>
    <x v="0"/>
    <d v="2025-06-08T00:00:00"/>
    <d v="2025-06-10T00:00:00"/>
    <x v="0"/>
    <n v="218"/>
  </r>
  <r>
    <s v="DRG-093"/>
    <s v="Drawing 93"/>
    <x v="4"/>
    <x v="3"/>
    <d v="2025-07-14T00:00:00"/>
    <d v="2025-07-19T00:00:00"/>
    <x v="2"/>
    <n v="0"/>
  </r>
  <r>
    <s v="DRG-094"/>
    <s v="Drawing 94"/>
    <x v="2"/>
    <x v="0"/>
    <d v="2025-06-02T00:00:00"/>
    <d v="2025-06-15T00:00:00"/>
    <x v="0"/>
    <n v="254"/>
  </r>
  <r>
    <s v="DRG-095"/>
    <s v="Drawing 95"/>
    <x v="0"/>
    <x v="3"/>
    <d v="2025-10-06T00:00:00"/>
    <d v="2025-10-11T00:00:00"/>
    <x v="2"/>
    <n v="0"/>
  </r>
  <r>
    <s v="DRG-096"/>
    <s v="Drawing 96"/>
    <x v="4"/>
    <x v="2"/>
    <d v="2025-04-10T00:00:00"/>
    <d v="2025-04-16T00:00:00"/>
    <x v="0"/>
    <n v="0"/>
  </r>
  <r>
    <s v="DRG-097"/>
    <s v="Drawing 97"/>
    <x v="0"/>
    <x v="2"/>
    <d v="2025-09-09T00:00:00"/>
    <d v="2025-09-11T00:00:00"/>
    <x v="3"/>
    <n v="0"/>
  </r>
  <r>
    <s v="DRG-098"/>
    <s v="Drawing 98"/>
    <x v="1"/>
    <x v="1"/>
    <d v="2025-05-03T00:00:00"/>
    <d v="2025-05-05T00:00:00"/>
    <x v="4"/>
    <n v="0"/>
  </r>
  <r>
    <s v="DRG-099"/>
    <s v="Drawing 99"/>
    <x v="2"/>
    <x v="3"/>
    <d v="2025-03-06T00:00:00"/>
    <d v="2025-03-08T00:00:00"/>
    <x v="3"/>
    <n v="0"/>
  </r>
  <r>
    <s v="DRG-100"/>
    <s v="Drawing 100"/>
    <x v="4"/>
    <x v="2"/>
    <d v="2025-10-03T00:00:00"/>
    <d v="2025-10-04T00:00:00"/>
    <x v="1"/>
    <n v="0"/>
  </r>
  <r>
    <s v="DRG-101"/>
    <s v="Drawing 101"/>
    <x v="5"/>
    <x v="3"/>
    <d v="2025-07-06T00:00:00"/>
    <m/>
    <x v="1"/>
    <n v="0"/>
  </r>
  <r>
    <s v="DRG-102"/>
    <s v="Drawing 102"/>
    <x v="2"/>
    <x v="0"/>
    <d v="2025-06-04T00:00:00"/>
    <m/>
    <x v="3"/>
    <n v="0"/>
  </r>
  <r>
    <s v="DRG-103"/>
    <s v="Drawing 103"/>
    <x v="0"/>
    <x v="0"/>
    <d v="2025-06-20T00:00:00"/>
    <d v="2025-07-01T00:00:00"/>
    <x v="3"/>
    <n v="0"/>
  </r>
  <r>
    <s v="DRG-104"/>
    <s v="Drawing 104"/>
    <x v="5"/>
    <x v="3"/>
    <d v="2025-02-20T00:00:00"/>
    <d v="2025-02-21T00:00:00"/>
    <x v="3"/>
    <n v="0"/>
  </r>
  <r>
    <s v="DRG-105"/>
    <s v="Drawing 105"/>
    <x v="1"/>
    <x v="0"/>
    <d v="2025-02-12T00:00:00"/>
    <d v="2025-02-13T00:00:00"/>
    <x v="1"/>
    <n v="0"/>
  </r>
  <r>
    <s v="DRG-106"/>
    <s v="Drawing 106"/>
    <x v="4"/>
    <x v="0"/>
    <d v="2025-08-21T00:00:00"/>
    <d v="2025-08-28T00:00:00"/>
    <x v="3"/>
    <n v="0"/>
  </r>
  <r>
    <s v="DRG-107"/>
    <s v="Drawing 107"/>
    <x v="0"/>
    <x v="0"/>
    <d v="2025-10-20T00:00:00"/>
    <d v="2025-10-26T00:00:00"/>
    <x v="3"/>
    <n v="0"/>
  </r>
  <r>
    <s v="DRG-108"/>
    <s v="Drawing 108"/>
    <x v="0"/>
    <x v="1"/>
    <d v="2025-06-22T00:00:00"/>
    <m/>
    <x v="0"/>
    <n v="0"/>
  </r>
  <r>
    <s v="DRG-109"/>
    <s v="Drawing 109"/>
    <x v="4"/>
    <x v="1"/>
    <d v="2025-10-22T00:00:00"/>
    <d v="2025-10-24T00:00:00"/>
    <x v="2"/>
    <n v="0"/>
  </r>
  <r>
    <s v="DRG-110"/>
    <s v="Drawing 110"/>
    <x v="4"/>
    <x v="3"/>
    <d v="2025-05-12T00:00:00"/>
    <d v="2025-05-17T00:00:00"/>
    <x v="3"/>
    <n v="0"/>
  </r>
  <r>
    <s v="DRG-111"/>
    <s v="Drawing 111"/>
    <x v="0"/>
    <x v="0"/>
    <d v="2025-04-07T00:00:00"/>
    <d v="2025-04-17T00:00:00"/>
    <x v="1"/>
    <n v="0"/>
  </r>
  <r>
    <s v="DRG-112"/>
    <s v="Drawing 112"/>
    <x v="1"/>
    <x v="0"/>
    <d v="2025-06-16T00:00:00"/>
    <d v="2025-06-28T00:00:00"/>
    <x v="1"/>
    <n v="0"/>
  </r>
  <r>
    <s v="DRG-113"/>
    <s v="Drawing 113"/>
    <x v="2"/>
    <x v="0"/>
    <d v="2025-04-24T00:00:00"/>
    <d v="2025-05-09T00:00:00"/>
    <x v="3"/>
    <n v="0"/>
  </r>
  <r>
    <s v="DRG-114"/>
    <s v="Drawing 114"/>
    <x v="1"/>
    <x v="1"/>
    <d v="2025-05-19T00:00:00"/>
    <d v="2025-06-01T00:00:00"/>
    <x v="1"/>
    <n v="0"/>
  </r>
  <r>
    <s v="DRG-115"/>
    <s v="Drawing 115"/>
    <x v="0"/>
    <x v="0"/>
    <d v="2025-10-13T00:00:00"/>
    <d v="2025-10-21T00:00:00"/>
    <x v="4"/>
    <n v="0"/>
  </r>
  <r>
    <s v="DRG-116"/>
    <s v="Drawing 116"/>
    <x v="1"/>
    <x v="2"/>
    <d v="2025-02-27T00:00:00"/>
    <d v="2025-03-12T00:00:00"/>
    <x v="4"/>
    <n v="0"/>
  </r>
  <r>
    <s v="DRG-117"/>
    <s v="Drawing 117"/>
    <x v="5"/>
    <x v="1"/>
    <d v="2025-03-29T00:00:00"/>
    <d v="2025-04-11T00:00:00"/>
    <x v="4"/>
    <n v="0"/>
  </r>
  <r>
    <s v="DRG-118"/>
    <s v="Drawing 118"/>
    <x v="1"/>
    <x v="0"/>
    <d v="2025-10-22T00:00:00"/>
    <d v="2025-10-23T00:00:00"/>
    <x v="0"/>
    <n v="100"/>
  </r>
  <r>
    <s v="DRG-119"/>
    <s v="Drawing 119"/>
    <x v="4"/>
    <x v="2"/>
    <d v="2025-02-13T00:00:00"/>
    <d v="2025-02-24T00:00:00"/>
    <x v="3"/>
    <n v="0"/>
  </r>
  <r>
    <s v="DRG-120"/>
    <s v="Drawing 120"/>
    <x v="0"/>
    <x v="3"/>
    <d v="2025-08-11T00:00:00"/>
    <d v="2025-08-18T00:00:00"/>
    <x v="3"/>
    <n v="0"/>
  </r>
  <r>
    <s v="DRG-121"/>
    <s v="Drawing 121"/>
    <x v="5"/>
    <x v="3"/>
    <d v="2025-08-07T00:00:00"/>
    <m/>
    <x v="3"/>
    <n v="0"/>
  </r>
  <r>
    <s v="DRG-122"/>
    <s v="Drawing 122"/>
    <x v="1"/>
    <x v="2"/>
    <d v="2025-03-22T00:00:00"/>
    <d v="2025-04-05T00:00:00"/>
    <x v="4"/>
    <n v="0"/>
  </r>
  <r>
    <s v="DRG-123"/>
    <s v="Drawing 123"/>
    <x v="2"/>
    <x v="1"/>
    <d v="2025-02-03T00:00:00"/>
    <d v="2025-02-09T00:00:00"/>
    <x v="2"/>
    <n v="0"/>
  </r>
  <r>
    <s v="DRG-124"/>
    <s v="Drawing 124"/>
    <x v="0"/>
    <x v="3"/>
    <d v="2025-04-21T00:00:00"/>
    <d v="2025-04-28T00:00:00"/>
    <x v="3"/>
    <n v="0"/>
  </r>
  <r>
    <s v="DRG-125"/>
    <s v="Drawing 125"/>
    <x v="4"/>
    <x v="0"/>
    <d v="2025-10-18T00:00:00"/>
    <d v="2025-10-19T00:00:00"/>
    <x v="4"/>
    <n v="0"/>
  </r>
  <r>
    <s v="DRG-126"/>
    <s v="Drawing 126"/>
    <x v="2"/>
    <x v="0"/>
    <d v="2025-02-02T00:00:00"/>
    <m/>
    <x v="1"/>
    <n v="0"/>
  </r>
  <r>
    <s v="DRG-127"/>
    <s v="Drawing 127"/>
    <x v="2"/>
    <x v="0"/>
    <d v="2025-04-19T00:00:00"/>
    <d v="2025-05-03T00:00:00"/>
    <x v="2"/>
    <n v="0"/>
  </r>
  <r>
    <s v="DRG-128"/>
    <s v="Drawing 128"/>
    <x v="2"/>
    <x v="0"/>
    <d v="2025-02-20T00:00:00"/>
    <d v="2025-02-25T00:00:00"/>
    <x v="1"/>
    <n v="0"/>
  </r>
  <r>
    <s v="DRG-129"/>
    <s v="Drawing 129"/>
    <x v="4"/>
    <x v="2"/>
    <d v="2025-02-09T00:00:00"/>
    <d v="2025-02-21T00:00:00"/>
    <x v="4"/>
    <n v="0"/>
  </r>
  <r>
    <s v="DRG-130"/>
    <s v="Drawing 130"/>
    <x v="5"/>
    <x v="1"/>
    <d v="2025-03-27T00:00:00"/>
    <m/>
    <x v="2"/>
    <n v="0"/>
  </r>
  <r>
    <s v="DRG-131"/>
    <s v="Drawing 131"/>
    <x v="0"/>
    <x v="0"/>
    <d v="2025-06-20T00:00:00"/>
    <d v="2025-06-25T00:00:00"/>
    <x v="1"/>
    <n v="0"/>
  </r>
  <r>
    <s v="DRG-132"/>
    <s v="Drawing 132"/>
    <x v="1"/>
    <x v="2"/>
    <d v="2025-07-23T00:00:00"/>
    <d v="2025-07-29T00:00:00"/>
    <x v="3"/>
    <n v="0"/>
  </r>
  <r>
    <s v="DRG-133"/>
    <s v="Drawing 133"/>
    <x v="2"/>
    <x v="1"/>
    <d v="2025-03-30T00:00:00"/>
    <d v="2025-04-14T00:00:00"/>
    <x v="2"/>
    <n v="0"/>
  </r>
  <r>
    <s v="DRG-134"/>
    <s v="Drawing 134"/>
    <x v="4"/>
    <x v="0"/>
    <d v="2025-01-31T00:00:00"/>
    <d v="2025-02-04T00:00:00"/>
    <x v="1"/>
    <n v="0"/>
  </r>
  <r>
    <s v="DRG-135"/>
    <s v="Drawing 135"/>
    <x v="4"/>
    <x v="3"/>
    <d v="2025-03-10T00:00:00"/>
    <d v="2025-03-23T00:00:00"/>
    <x v="1"/>
    <n v="0"/>
  </r>
  <r>
    <s v="DRG-136"/>
    <s v="Drawing 136"/>
    <x v="0"/>
    <x v="1"/>
    <d v="2025-01-04T00:00:00"/>
    <d v="2025-01-11T00:00:00"/>
    <x v="4"/>
    <n v="0"/>
  </r>
  <r>
    <s v="DRG-137"/>
    <s v="Drawing 137"/>
    <x v="2"/>
    <x v="1"/>
    <d v="2025-04-01T00:00:00"/>
    <d v="2025-04-14T00:00:00"/>
    <x v="0"/>
    <n v="0"/>
  </r>
  <r>
    <s v="DRG-138"/>
    <s v="Drawing 138"/>
    <x v="4"/>
    <x v="2"/>
    <d v="2025-05-03T00:00:00"/>
    <d v="2025-05-05T00:00:00"/>
    <x v="1"/>
    <n v="0"/>
  </r>
  <r>
    <s v="DRG-139"/>
    <s v="Drawing 139"/>
    <x v="2"/>
    <x v="3"/>
    <d v="2025-02-20T00:00:00"/>
    <d v="2025-02-21T00:00:00"/>
    <x v="4"/>
    <n v="0"/>
  </r>
  <r>
    <s v="DRG-140"/>
    <s v="Drawing 140"/>
    <x v="2"/>
    <x v="0"/>
    <d v="2025-01-04T00:00:00"/>
    <d v="2025-01-19T00:00:00"/>
    <x v="0"/>
    <n v="80"/>
  </r>
  <r>
    <s v="DRG-141"/>
    <s v="Drawing 141"/>
    <x v="2"/>
    <x v="0"/>
    <d v="2025-02-20T00:00:00"/>
    <m/>
    <x v="3"/>
    <n v="0"/>
  </r>
  <r>
    <s v="DRG-142"/>
    <s v="Drawing 142"/>
    <x v="1"/>
    <x v="0"/>
    <d v="2025-05-11T00:00:00"/>
    <d v="2025-05-21T00:00:00"/>
    <x v="3"/>
    <n v="0"/>
  </r>
  <r>
    <s v="DRG-143"/>
    <s v="Drawing 143"/>
    <x v="2"/>
    <x v="0"/>
    <d v="2025-05-11T00:00:00"/>
    <d v="2025-05-12T00:00:00"/>
    <x v="0"/>
    <n v="0"/>
  </r>
  <r>
    <s v="DRG-144"/>
    <s v="Drawing 144"/>
    <x v="5"/>
    <x v="0"/>
    <d v="2025-07-31T00:00:00"/>
    <d v="2025-08-11T00:00:00"/>
    <x v="4"/>
    <n v="0"/>
  </r>
  <r>
    <s v="DRG-145"/>
    <s v="Drawing 145"/>
    <x v="0"/>
    <x v="3"/>
    <d v="2025-04-24T00:00:00"/>
    <d v="2025-04-29T00:00:00"/>
    <x v="3"/>
    <n v="0"/>
  </r>
  <r>
    <s v="DRG-146"/>
    <s v="Drawing 146"/>
    <x v="5"/>
    <x v="3"/>
    <d v="2025-01-09T00:00:00"/>
    <d v="2025-01-13T00:00:00"/>
    <x v="0"/>
    <n v="0"/>
  </r>
  <r>
    <s v="DRG-147"/>
    <s v="Drawing 147"/>
    <x v="1"/>
    <x v="2"/>
    <d v="2025-06-21T00:00:00"/>
    <d v="2025-07-04T00:00:00"/>
    <x v="0"/>
    <n v="268"/>
  </r>
  <r>
    <s v="DRG-148"/>
    <s v="Drawing 148"/>
    <x v="1"/>
    <x v="3"/>
    <d v="2025-03-09T00:00:00"/>
    <d v="2025-03-15T00:00:00"/>
    <x v="4"/>
    <n v="0"/>
  </r>
  <r>
    <s v="DRG-149"/>
    <s v="Drawing 149"/>
    <x v="5"/>
    <x v="3"/>
    <d v="2025-05-09T00:00:00"/>
    <d v="2025-05-18T00:00:00"/>
    <x v="1"/>
    <n v="0"/>
  </r>
  <r>
    <s v="DRG-150"/>
    <s v="Drawing 150"/>
    <x v="5"/>
    <x v="0"/>
    <d v="2025-06-03T00:00:00"/>
    <m/>
    <x v="2"/>
    <n v="0"/>
  </r>
  <r>
    <s v="DRG-151"/>
    <s v="Drawing 151"/>
    <x v="2"/>
    <x v="1"/>
    <d v="2025-09-24T00:00:00"/>
    <d v="2025-10-06T00:00:00"/>
    <x v="1"/>
    <n v="0"/>
  </r>
  <r>
    <s v="DRG-152"/>
    <s v="Drawing 152"/>
    <x v="5"/>
    <x v="2"/>
    <d v="2025-05-04T00:00:00"/>
    <d v="2025-05-16T00:00:00"/>
    <x v="0"/>
    <n v="0"/>
  </r>
  <r>
    <s v="DRG-153"/>
    <s v="Drawing 153"/>
    <x v="4"/>
    <x v="2"/>
    <d v="2025-07-28T00:00:00"/>
    <d v="2025-07-28T00:00:00"/>
    <x v="4"/>
    <n v="0"/>
  </r>
  <r>
    <s v="DRG-154"/>
    <s v="Drawing 154"/>
    <x v="2"/>
    <x v="0"/>
    <d v="2025-06-11T00:00:00"/>
    <m/>
    <x v="2"/>
    <n v="0"/>
  </r>
  <r>
    <s v="DRG-155"/>
    <s v="Drawing 155"/>
    <x v="1"/>
    <x v="2"/>
    <d v="2025-02-28T00:00:00"/>
    <d v="2025-03-10T00:00:00"/>
    <x v="1"/>
    <n v="0"/>
  </r>
  <r>
    <s v="DRG-156"/>
    <s v="Drawing 156"/>
    <x v="4"/>
    <x v="2"/>
    <d v="2025-04-13T00:00:00"/>
    <d v="2025-04-18T00:00:00"/>
    <x v="3"/>
    <n v="0"/>
  </r>
  <r>
    <s v="DRG-157"/>
    <s v="Drawing 157"/>
    <x v="2"/>
    <x v="0"/>
    <d v="2025-01-11T00:00:00"/>
    <m/>
    <x v="2"/>
    <n v="0"/>
  </r>
  <r>
    <s v="DRG-158"/>
    <s v="Drawing 158"/>
    <x v="5"/>
    <x v="3"/>
    <d v="2025-04-07T00:00:00"/>
    <d v="2025-04-20T00:00:00"/>
    <x v="1"/>
    <n v="0"/>
  </r>
  <r>
    <s v="DRG-159"/>
    <s v="Drawing 159"/>
    <x v="5"/>
    <x v="3"/>
    <d v="2025-02-10T00:00:00"/>
    <d v="2025-02-20T00:00:00"/>
    <x v="2"/>
    <n v="0"/>
  </r>
  <r>
    <s v="DRG-160"/>
    <s v="Drawing 160"/>
    <x v="1"/>
    <x v="1"/>
    <d v="2025-06-16T00:00:00"/>
    <d v="2025-06-21T00:00:00"/>
    <x v="0"/>
    <n v="102"/>
  </r>
  <r>
    <s v="DRG-161"/>
    <s v="Drawing 161"/>
    <x v="5"/>
    <x v="0"/>
    <d v="2025-07-16T00:00:00"/>
    <d v="2025-07-27T00:00:00"/>
    <x v="0"/>
    <n v="0"/>
  </r>
  <r>
    <s v="DRG-162"/>
    <s v="Drawing 162"/>
    <x v="2"/>
    <x v="3"/>
    <d v="2025-09-10T00:00:00"/>
    <d v="2025-09-11T00:00:00"/>
    <x v="0"/>
    <n v="0"/>
  </r>
  <r>
    <s v="DRG-163"/>
    <s v="Drawing 163"/>
    <x v="2"/>
    <x v="2"/>
    <d v="2025-01-02T00:00:00"/>
    <d v="2025-01-05T00:00:00"/>
    <x v="2"/>
    <n v="0"/>
  </r>
  <r>
    <s v="DRG-164"/>
    <s v="Drawing 164"/>
    <x v="0"/>
    <x v="3"/>
    <d v="2025-07-08T00:00:00"/>
    <m/>
    <x v="0"/>
    <n v="0"/>
  </r>
  <r>
    <s v="DRG-165"/>
    <s v="Drawing 165"/>
    <x v="0"/>
    <x v="0"/>
    <d v="2025-01-13T00:00:00"/>
    <d v="2025-01-25T00:00:00"/>
    <x v="0"/>
    <n v="239"/>
  </r>
  <r>
    <s v="DRG-166"/>
    <s v="Drawing 166"/>
    <x v="4"/>
    <x v="1"/>
    <d v="2025-03-17T00:00:00"/>
    <d v="2025-03-17T00:00:00"/>
    <x v="1"/>
    <n v="0"/>
  </r>
  <r>
    <s v="DRG-167"/>
    <s v="Drawing 167"/>
    <x v="0"/>
    <x v="3"/>
    <d v="2025-08-12T00:00:00"/>
    <d v="2025-08-17T00:00:00"/>
    <x v="3"/>
    <n v="0"/>
  </r>
  <r>
    <s v="DRG-168"/>
    <s v="Drawing 168"/>
    <x v="4"/>
    <x v="0"/>
    <d v="2025-05-24T00:00:00"/>
    <d v="2025-05-26T00:00:00"/>
    <x v="3"/>
    <n v="0"/>
  </r>
  <r>
    <s v="DRG-169"/>
    <s v="Drawing 169"/>
    <x v="1"/>
    <x v="1"/>
    <d v="2025-10-17T00:00:00"/>
    <m/>
    <x v="1"/>
    <n v="0"/>
  </r>
  <r>
    <s v="DRG-170"/>
    <s v="Drawing 170"/>
    <x v="0"/>
    <x v="3"/>
    <d v="2025-02-12T00:00:00"/>
    <d v="2025-02-27T00:00:00"/>
    <x v="3"/>
    <n v="0"/>
  </r>
  <r>
    <s v="DRG-171"/>
    <s v="Drawing 171"/>
    <x v="5"/>
    <x v="1"/>
    <d v="2025-02-04T00:00:00"/>
    <d v="2025-02-04T00:00:00"/>
    <x v="4"/>
    <n v="0"/>
  </r>
  <r>
    <s v="DRG-172"/>
    <s v="Drawing 172"/>
    <x v="1"/>
    <x v="0"/>
    <d v="2025-09-19T00:00:00"/>
    <m/>
    <x v="1"/>
    <n v="0"/>
  </r>
  <r>
    <s v="DRG-173"/>
    <s v="Drawing 173"/>
    <x v="5"/>
    <x v="1"/>
    <d v="2025-07-24T00:00:00"/>
    <d v="2025-07-24T00:00:00"/>
    <x v="1"/>
    <n v="0"/>
  </r>
  <r>
    <s v="DRG-174"/>
    <s v="Drawing 174"/>
    <x v="2"/>
    <x v="3"/>
    <d v="2025-04-12T00:00:00"/>
    <d v="2025-04-25T00:00:00"/>
    <x v="3"/>
    <n v="0"/>
  </r>
  <r>
    <s v="DRG-175"/>
    <s v="Drawing 175"/>
    <x v="2"/>
    <x v="0"/>
    <d v="2025-06-14T00:00:00"/>
    <m/>
    <x v="2"/>
    <n v="0"/>
  </r>
  <r>
    <s v="DRG-176"/>
    <s v="Drawing 176"/>
    <x v="1"/>
    <x v="1"/>
    <d v="2025-07-06T00:00:00"/>
    <d v="2025-07-19T00:00:00"/>
    <x v="1"/>
    <n v="0"/>
  </r>
  <r>
    <s v="DRG-177"/>
    <s v="Drawing 177"/>
    <x v="5"/>
    <x v="1"/>
    <d v="2025-06-25T00:00:00"/>
    <m/>
    <x v="0"/>
    <n v="0"/>
  </r>
  <r>
    <s v="DRG-178"/>
    <s v="Drawing 178"/>
    <x v="1"/>
    <x v="3"/>
    <d v="2025-02-12T00:00:00"/>
    <m/>
    <x v="1"/>
    <n v="0"/>
  </r>
  <r>
    <s v="DRG-179"/>
    <s v="Drawing 179"/>
    <x v="5"/>
    <x v="2"/>
    <d v="2025-09-22T00:00:00"/>
    <d v="2025-09-27T00:00:00"/>
    <x v="3"/>
    <n v="0"/>
  </r>
  <r>
    <s v="DRG-180"/>
    <s v="Drawing 180"/>
    <x v="4"/>
    <x v="1"/>
    <d v="2025-09-21T00:00:00"/>
    <m/>
    <x v="2"/>
    <n v="0"/>
  </r>
  <r>
    <s v="DRG-181"/>
    <s v="Drawing 181"/>
    <x v="2"/>
    <x v="3"/>
    <d v="2025-03-01T00:00:00"/>
    <m/>
    <x v="3"/>
    <n v="0"/>
  </r>
  <r>
    <s v="DRG-182"/>
    <s v="Drawing 182"/>
    <x v="2"/>
    <x v="0"/>
    <d v="2025-06-24T00:00:00"/>
    <d v="2025-06-26T00:00:00"/>
    <x v="3"/>
    <n v="0"/>
  </r>
  <r>
    <s v="DRG-183"/>
    <s v="Drawing 183"/>
    <x v="4"/>
    <x v="1"/>
    <d v="2025-10-19T00:00:00"/>
    <m/>
    <x v="3"/>
    <n v="0"/>
  </r>
  <r>
    <s v="DRG-184"/>
    <s v="Drawing 184"/>
    <x v="2"/>
    <x v="1"/>
    <d v="2025-03-19T00:00:00"/>
    <d v="2025-04-03T00:00:00"/>
    <x v="2"/>
    <n v="0"/>
  </r>
  <r>
    <s v="DRG-185"/>
    <s v="Drawing 185"/>
    <x v="5"/>
    <x v="0"/>
    <d v="2025-07-10T00:00:00"/>
    <d v="2025-07-25T00:00:00"/>
    <x v="4"/>
    <n v="0"/>
  </r>
  <r>
    <s v="DRG-186"/>
    <s v="Drawing 186"/>
    <x v="2"/>
    <x v="1"/>
    <d v="2025-09-09T00:00:00"/>
    <d v="2025-09-15T00:00:00"/>
    <x v="0"/>
    <n v="145"/>
  </r>
  <r>
    <s v="DRG-187"/>
    <s v="Drawing 187"/>
    <x v="0"/>
    <x v="3"/>
    <d v="2025-07-21T00:00:00"/>
    <d v="2025-07-22T00:00:00"/>
    <x v="3"/>
    <n v="0"/>
  </r>
  <r>
    <s v="DRG-188"/>
    <s v="Drawing 188"/>
    <x v="4"/>
    <x v="3"/>
    <d v="2025-05-12T00:00:00"/>
    <d v="2025-05-13T00:00:00"/>
    <x v="2"/>
    <n v="0"/>
  </r>
  <r>
    <s v="DRG-189"/>
    <s v="Drawing 189"/>
    <x v="4"/>
    <x v="1"/>
    <d v="2025-04-17T00:00:00"/>
    <m/>
    <x v="3"/>
    <n v="0"/>
  </r>
  <r>
    <s v="DRG-190"/>
    <s v="Drawing 190"/>
    <x v="0"/>
    <x v="0"/>
    <d v="2025-07-21T00:00:00"/>
    <d v="2025-08-02T00:00:00"/>
    <x v="2"/>
    <n v="0"/>
  </r>
  <r>
    <s v="DRG-191"/>
    <s v="Drawing 191"/>
    <x v="4"/>
    <x v="3"/>
    <d v="2025-08-12T00:00:00"/>
    <d v="2025-08-15T00:00:00"/>
    <x v="3"/>
    <n v="0"/>
  </r>
  <r>
    <s v="DRG-192"/>
    <s v="Drawing 192"/>
    <x v="1"/>
    <x v="1"/>
    <d v="2025-02-24T00:00:00"/>
    <m/>
    <x v="2"/>
    <n v="0"/>
  </r>
  <r>
    <s v="DRG-193"/>
    <s v="Drawing 193"/>
    <x v="1"/>
    <x v="3"/>
    <d v="2025-08-26T00:00:00"/>
    <d v="2025-09-08T00:00:00"/>
    <x v="3"/>
    <n v="0"/>
  </r>
  <r>
    <s v="DRG-194"/>
    <s v="Drawing 194"/>
    <x v="0"/>
    <x v="1"/>
    <d v="2025-08-05T00:00:00"/>
    <d v="2025-08-12T00:00:00"/>
    <x v="0"/>
    <n v="0"/>
  </r>
  <r>
    <s v="DRG-195"/>
    <s v="Drawing 195"/>
    <x v="2"/>
    <x v="1"/>
    <d v="2025-01-04T00:00:00"/>
    <d v="2025-01-14T00:00:00"/>
    <x v="1"/>
    <n v="0"/>
  </r>
  <r>
    <s v="DRG-196"/>
    <s v="Drawing 196"/>
    <x v="5"/>
    <x v="3"/>
    <d v="2025-08-28T00:00:00"/>
    <d v="2025-09-10T00:00:00"/>
    <x v="1"/>
    <n v="0"/>
  </r>
  <r>
    <s v="DRG-197"/>
    <s v="Drawing 197"/>
    <x v="4"/>
    <x v="3"/>
    <d v="2025-04-11T00:00:00"/>
    <d v="2025-04-24T00:00:00"/>
    <x v="3"/>
    <n v="0"/>
  </r>
  <r>
    <s v="DRG-198"/>
    <s v="Drawing 198"/>
    <x v="0"/>
    <x v="1"/>
    <d v="2025-03-20T00:00:00"/>
    <d v="2025-04-01T00:00:00"/>
    <x v="4"/>
    <n v="0"/>
  </r>
  <r>
    <s v="DRG-199"/>
    <s v="Drawing 199"/>
    <x v="1"/>
    <x v="3"/>
    <d v="2025-09-13T00:00:00"/>
    <d v="2025-09-20T00:00:00"/>
    <x v="4"/>
    <n v="0"/>
  </r>
  <r>
    <s v="DRG-200"/>
    <s v="Drawing 200"/>
    <x v="4"/>
    <x v="0"/>
    <d v="2025-06-21T00:00:00"/>
    <d v="2025-06-22T00:00:00"/>
    <x v="1"/>
    <n v="0"/>
  </r>
  <r>
    <s v="DRG-201"/>
    <s v="Drawing 201"/>
    <x v="0"/>
    <x v="0"/>
    <d v="2025-08-28T00:00:00"/>
    <d v="2025-09-09T00:00:00"/>
    <x v="3"/>
    <n v="0"/>
  </r>
  <r>
    <s v="DRG-202"/>
    <s v="Drawing 202"/>
    <x v="0"/>
    <x v="3"/>
    <d v="2025-10-08T00:00:00"/>
    <d v="2025-10-18T00:00:00"/>
    <x v="4"/>
    <n v="0"/>
  </r>
  <r>
    <s v="DRG-203"/>
    <s v="Drawing 203"/>
    <x v="2"/>
    <x v="0"/>
    <d v="2025-09-20T00:00:00"/>
    <d v="2025-09-22T00:00:00"/>
    <x v="1"/>
    <n v="0"/>
  </r>
  <r>
    <s v="DRG-204"/>
    <s v="Drawing 204"/>
    <x v="1"/>
    <x v="0"/>
    <d v="2025-08-12T00:00:00"/>
    <d v="2025-08-13T00:00:00"/>
    <x v="3"/>
    <n v="0"/>
  </r>
  <r>
    <s v="DRG-205"/>
    <s v="Drawing 205"/>
    <x v="4"/>
    <x v="3"/>
    <d v="2025-06-20T00:00:00"/>
    <d v="2025-06-25T00:00:00"/>
    <x v="3"/>
    <n v="0"/>
  </r>
  <r>
    <s v="DRG-206"/>
    <s v="Drawing 206"/>
    <x v="4"/>
    <x v="1"/>
    <d v="2025-08-14T00:00:00"/>
    <d v="2025-08-27T00:00:00"/>
    <x v="1"/>
    <n v="0"/>
  </r>
  <r>
    <s v="DRG-207"/>
    <s v="Drawing 207"/>
    <x v="1"/>
    <x v="0"/>
    <d v="2025-04-10T00:00:00"/>
    <d v="2025-04-22T00:00:00"/>
    <x v="1"/>
    <n v="0"/>
  </r>
  <r>
    <s v="DRG-208"/>
    <s v="Drawing 208"/>
    <x v="4"/>
    <x v="0"/>
    <d v="2025-06-10T00:00:00"/>
    <d v="2025-06-15T00:00:00"/>
    <x v="1"/>
    <n v="0"/>
  </r>
  <r>
    <s v="DRG-209"/>
    <s v="Drawing 209"/>
    <x v="2"/>
    <x v="0"/>
    <d v="2025-09-28T00:00:00"/>
    <d v="2025-10-02T00:00:00"/>
    <x v="3"/>
    <n v="0"/>
  </r>
  <r>
    <s v="DRG-210"/>
    <s v="Drawing 210"/>
    <x v="0"/>
    <x v="2"/>
    <d v="2025-09-18T00:00:00"/>
    <d v="2025-09-29T00:00:00"/>
    <x v="4"/>
    <n v="0"/>
  </r>
  <r>
    <s v="DRG-211"/>
    <s v="Drawing 211"/>
    <x v="5"/>
    <x v="1"/>
    <d v="2025-08-25T00:00:00"/>
    <d v="2025-08-25T00:00:00"/>
    <x v="3"/>
    <n v="0"/>
  </r>
  <r>
    <s v="DRG-212"/>
    <s v="Drawing 212"/>
    <x v="2"/>
    <x v="1"/>
    <d v="2025-08-25T00:00:00"/>
    <m/>
    <x v="4"/>
    <n v="0"/>
  </r>
  <r>
    <s v="DRG-213"/>
    <s v="Drawing 213"/>
    <x v="4"/>
    <x v="3"/>
    <d v="2025-09-28T00:00:00"/>
    <d v="2025-10-05T00:00:00"/>
    <x v="2"/>
    <n v="0"/>
  </r>
  <r>
    <s v="DRG-214"/>
    <s v="Drawing 214"/>
    <x v="5"/>
    <x v="2"/>
    <d v="2025-04-17T00:00:00"/>
    <d v="2025-04-19T00:00:00"/>
    <x v="1"/>
    <n v="0"/>
  </r>
  <r>
    <s v="DRG-215"/>
    <s v="Drawing 215"/>
    <x v="1"/>
    <x v="0"/>
    <d v="2025-09-25T00:00:00"/>
    <d v="2025-09-30T00:00:00"/>
    <x v="4"/>
    <n v="0"/>
  </r>
  <r>
    <s v="DRG-216"/>
    <s v="Drawing 216"/>
    <x v="5"/>
    <x v="0"/>
    <d v="2025-05-02T00:00:00"/>
    <d v="2025-05-04T00:00:00"/>
    <x v="0"/>
    <n v="0"/>
  </r>
  <r>
    <s v="DRG-217"/>
    <s v="Drawing 217"/>
    <x v="5"/>
    <x v="0"/>
    <d v="2025-10-20T00:00:00"/>
    <m/>
    <x v="4"/>
    <n v="0"/>
  </r>
  <r>
    <s v="DRG-218"/>
    <s v="Drawing 218"/>
    <x v="2"/>
    <x v="3"/>
    <d v="2025-08-16T00:00:00"/>
    <d v="2025-08-24T00:00:00"/>
    <x v="3"/>
    <n v="0"/>
  </r>
  <r>
    <s v="DRG-219"/>
    <s v="Drawing 219"/>
    <x v="1"/>
    <x v="2"/>
    <d v="2025-05-28T00:00:00"/>
    <d v="2025-06-06T00:00:00"/>
    <x v="2"/>
    <n v="0"/>
  </r>
  <r>
    <s v="DRG-220"/>
    <s v="Drawing 220"/>
    <x v="4"/>
    <x v="3"/>
    <d v="2025-01-28T00:00:00"/>
    <m/>
    <x v="0"/>
    <n v="165"/>
  </r>
  <r>
    <s v="DRG-221"/>
    <s v="Drawing 221"/>
    <x v="0"/>
    <x v="2"/>
    <d v="2025-05-11T00:00:00"/>
    <d v="2025-05-20T00:00:00"/>
    <x v="4"/>
    <n v="0"/>
  </r>
  <r>
    <s v="DRG-222"/>
    <s v="Drawing 222"/>
    <x v="5"/>
    <x v="1"/>
    <d v="2025-02-11T00:00:00"/>
    <d v="2025-02-20T00:00:00"/>
    <x v="2"/>
    <n v="0"/>
  </r>
  <r>
    <s v="DRG-223"/>
    <s v="Drawing 223"/>
    <x v="5"/>
    <x v="1"/>
    <d v="2025-07-19T00:00:00"/>
    <d v="2025-07-28T00:00:00"/>
    <x v="3"/>
    <n v="0"/>
  </r>
  <r>
    <s v="DRG-224"/>
    <s v="Drawing 224"/>
    <x v="5"/>
    <x v="2"/>
    <d v="2025-01-10T00:00:00"/>
    <m/>
    <x v="4"/>
    <n v="0"/>
  </r>
  <r>
    <s v="DRG-225"/>
    <s v="Drawing 225"/>
    <x v="4"/>
    <x v="2"/>
    <d v="2025-01-05T00:00:00"/>
    <d v="2025-01-06T00:00:00"/>
    <x v="4"/>
    <n v="0"/>
  </r>
  <r>
    <s v="DRG-226"/>
    <s v="Drawing 226"/>
    <x v="0"/>
    <x v="2"/>
    <d v="2025-07-16T00:00:00"/>
    <d v="2025-07-31T00:00:00"/>
    <x v="3"/>
    <n v="0"/>
  </r>
  <r>
    <s v="DRG-227"/>
    <s v="Drawing 227"/>
    <x v="1"/>
    <x v="1"/>
    <d v="2025-05-27T00:00:00"/>
    <m/>
    <x v="0"/>
    <n v="0"/>
  </r>
  <r>
    <s v="DRG-228"/>
    <s v="Drawing 228"/>
    <x v="4"/>
    <x v="2"/>
    <d v="2025-01-19T00:00:00"/>
    <m/>
    <x v="2"/>
    <n v="0"/>
  </r>
  <r>
    <s v="DRG-229"/>
    <s v="Drawing 229"/>
    <x v="5"/>
    <x v="2"/>
    <d v="2025-03-31T00:00:00"/>
    <d v="2025-04-14T00:00:00"/>
    <x v="2"/>
    <n v="0"/>
  </r>
  <r>
    <s v="DRG-230"/>
    <s v="Drawing 230"/>
    <x v="0"/>
    <x v="1"/>
    <d v="2025-03-19T00:00:00"/>
    <d v="2025-03-23T00:00:00"/>
    <x v="0"/>
    <n v="0"/>
  </r>
  <r>
    <s v="DRG-231"/>
    <s v="Drawing 231"/>
    <x v="4"/>
    <x v="3"/>
    <d v="2025-07-25T00:00:00"/>
    <d v="2025-07-27T00:00:00"/>
    <x v="0"/>
    <n v="125"/>
  </r>
  <r>
    <s v="DRG-232"/>
    <s v="Drawing 232"/>
    <x v="5"/>
    <x v="1"/>
    <d v="2025-08-15T00:00:00"/>
    <d v="2025-08-22T00:00:00"/>
    <x v="4"/>
    <n v="0"/>
  </r>
  <r>
    <s v="DRG-233"/>
    <s v="Drawing 233"/>
    <x v="2"/>
    <x v="0"/>
    <d v="2025-05-02T00:00:00"/>
    <d v="2025-05-11T00:00:00"/>
    <x v="4"/>
    <n v="0"/>
  </r>
  <r>
    <s v="DRG-234"/>
    <s v="Drawing 234"/>
    <x v="2"/>
    <x v="3"/>
    <d v="2025-10-14T00:00:00"/>
    <d v="2025-10-28T00:00:00"/>
    <x v="0"/>
    <n v="165"/>
  </r>
  <r>
    <s v="DRG-235"/>
    <s v="Drawing 235"/>
    <x v="1"/>
    <x v="0"/>
    <d v="2025-02-12T00:00:00"/>
    <d v="2025-02-21T00:00:00"/>
    <x v="3"/>
    <n v="0"/>
  </r>
  <r>
    <s v="DRG-236"/>
    <s v="Drawing 236"/>
    <x v="4"/>
    <x v="1"/>
    <d v="2025-08-30T00:00:00"/>
    <d v="2025-08-31T00:00:00"/>
    <x v="1"/>
    <n v="0"/>
  </r>
  <r>
    <s v="DRG-237"/>
    <s v="Drawing 237"/>
    <x v="1"/>
    <x v="3"/>
    <d v="2025-01-18T00:00:00"/>
    <d v="2025-01-27T00:00:00"/>
    <x v="0"/>
    <n v="0"/>
  </r>
  <r>
    <s v="DRG-238"/>
    <s v="Drawing 238"/>
    <x v="2"/>
    <x v="2"/>
    <d v="2025-05-12T00:00:00"/>
    <d v="2025-05-19T00:00:00"/>
    <x v="1"/>
    <n v="0"/>
  </r>
  <r>
    <s v="DRG-239"/>
    <s v="Drawing 239"/>
    <x v="2"/>
    <x v="1"/>
    <d v="2025-02-23T00:00:00"/>
    <m/>
    <x v="2"/>
    <n v="0"/>
  </r>
  <r>
    <s v="DRG-240"/>
    <s v="Drawing 240"/>
    <x v="5"/>
    <x v="1"/>
    <d v="2025-04-15T00:00:00"/>
    <d v="2025-04-29T00:00:00"/>
    <x v="3"/>
    <n v="0"/>
  </r>
  <r>
    <s v="DRG-241"/>
    <s v="Drawing 241"/>
    <x v="5"/>
    <x v="1"/>
    <d v="2025-05-23T00:00:00"/>
    <d v="2025-05-31T00:00:00"/>
    <x v="2"/>
    <n v="0"/>
  </r>
  <r>
    <s v="DRG-242"/>
    <s v="Drawing 242"/>
    <x v="5"/>
    <x v="3"/>
    <d v="2025-02-26T00:00:00"/>
    <m/>
    <x v="3"/>
    <n v="0"/>
  </r>
  <r>
    <s v="DRG-243"/>
    <s v="Drawing 243"/>
    <x v="2"/>
    <x v="2"/>
    <d v="2025-02-24T00:00:00"/>
    <d v="2025-02-25T00:00:00"/>
    <x v="4"/>
    <n v="0"/>
  </r>
  <r>
    <s v="DRG-244"/>
    <s v="Drawing 244"/>
    <x v="1"/>
    <x v="0"/>
    <d v="2025-06-05T00:00:00"/>
    <m/>
    <x v="2"/>
    <n v="0"/>
  </r>
  <r>
    <s v="DRG-245"/>
    <s v="Drawing 245"/>
    <x v="0"/>
    <x v="3"/>
    <d v="2025-10-26T00:00:00"/>
    <d v="2025-10-30T00:00:00"/>
    <x v="0"/>
    <n v="177"/>
  </r>
  <r>
    <s v="DRG-246"/>
    <s v="Drawing 246"/>
    <x v="4"/>
    <x v="3"/>
    <d v="2025-01-14T00:00:00"/>
    <d v="2025-01-25T00:00:00"/>
    <x v="4"/>
    <n v="0"/>
  </r>
  <r>
    <s v="DRG-247"/>
    <s v="Drawing 247"/>
    <x v="2"/>
    <x v="3"/>
    <d v="2025-04-01T00:00:00"/>
    <d v="2025-04-07T00:00:00"/>
    <x v="0"/>
    <n v="84"/>
  </r>
  <r>
    <s v="DRG-248"/>
    <s v="Drawing 248"/>
    <x v="4"/>
    <x v="1"/>
    <d v="2025-06-03T00:00:00"/>
    <d v="2025-06-15T00:00:00"/>
    <x v="3"/>
    <n v="0"/>
  </r>
  <r>
    <s v="DRG-249"/>
    <s v="Drawing 249"/>
    <x v="1"/>
    <x v="2"/>
    <d v="2025-09-14T00:00:00"/>
    <d v="2025-09-16T00:00:00"/>
    <x v="4"/>
    <n v="0"/>
  </r>
  <r>
    <s v="DRG-250"/>
    <s v="Drawing 250"/>
    <x v="4"/>
    <x v="2"/>
    <d v="2025-07-15T00:00:00"/>
    <m/>
    <x v="2"/>
    <n v="0"/>
  </r>
  <r>
    <s v="DRG-251"/>
    <s v="Drawing 251"/>
    <x v="4"/>
    <x v="3"/>
    <d v="2025-01-01T00:00:00"/>
    <m/>
    <x v="2"/>
    <n v="0"/>
  </r>
  <r>
    <s v="DRG-252"/>
    <s v="Drawing 252"/>
    <x v="2"/>
    <x v="3"/>
    <d v="2025-06-04T00:00:00"/>
    <m/>
    <x v="2"/>
    <n v="0"/>
  </r>
  <r>
    <s v="DRG-253"/>
    <s v="Drawing 253"/>
    <x v="4"/>
    <x v="1"/>
    <d v="2025-03-24T00:00:00"/>
    <m/>
    <x v="2"/>
    <n v="0"/>
  </r>
  <r>
    <s v="DRG-254"/>
    <s v="Drawing 254"/>
    <x v="1"/>
    <x v="3"/>
    <d v="2025-05-07T00:00:00"/>
    <d v="2025-05-14T00:00:00"/>
    <x v="2"/>
    <n v="0"/>
  </r>
  <r>
    <s v="DRG-255"/>
    <s v="Drawing 255"/>
    <x v="0"/>
    <x v="0"/>
    <d v="2025-05-12T00:00:00"/>
    <d v="2025-05-12T00:00:00"/>
    <x v="0"/>
    <n v="221"/>
  </r>
  <r>
    <s v="DRG-256"/>
    <s v="Drawing 256"/>
    <x v="0"/>
    <x v="2"/>
    <d v="2025-07-29T00:00:00"/>
    <d v="2025-07-31T00:00:00"/>
    <x v="0"/>
    <n v="209"/>
  </r>
  <r>
    <s v="DRG-257"/>
    <s v="Drawing 257"/>
    <x v="4"/>
    <x v="1"/>
    <d v="2025-08-27T00:00:00"/>
    <d v="2025-09-02T00:00:00"/>
    <x v="3"/>
    <n v="0"/>
  </r>
  <r>
    <s v="DRG-258"/>
    <s v="Drawing 258"/>
    <x v="1"/>
    <x v="3"/>
    <d v="2025-08-27T00:00:00"/>
    <m/>
    <x v="0"/>
    <n v="232"/>
  </r>
  <r>
    <s v="DRG-259"/>
    <s v="Drawing 259"/>
    <x v="0"/>
    <x v="2"/>
    <d v="2025-10-23T00:00:00"/>
    <m/>
    <x v="3"/>
    <n v="0"/>
  </r>
  <r>
    <s v="DRG-260"/>
    <s v="Drawing 260"/>
    <x v="2"/>
    <x v="0"/>
    <d v="2025-09-20T00:00:00"/>
    <d v="2025-09-23T00:00:00"/>
    <x v="4"/>
    <n v="0"/>
  </r>
  <r>
    <s v="DRG-261"/>
    <s v="Drawing 261"/>
    <x v="0"/>
    <x v="3"/>
    <d v="2025-06-24T00:00:00"/>
    <d v="2025-07-07T00:00:00"/>
    <x v="2"/>
    <n v="0"/>
  </r>
  <r>
    <s v="DRG-262"/>
    <s v="Drawing 262"/>
    <x v="0"/>
    <x v="0"/>
    <d v="2025-06-18T00:00:00"/>
    <d v="2025-06-28T00:00:00"/>
    <x v="0"/>
    <n v="148"/>
  </r>
  <r>
    <s v="DRG-263"/>
    <s v="Drawing 263"/>
    <x v="1"/>
    <x v="1"/>
    <d v="2025-08-20T00:00:00"/>
    <d v="2025-08-23T00:00:00"/>
    <x v="4"/>
    <n v="0"/>
  </r>
  <r>
    <s v="DRG-264"/>
    <s v="Drawing 264"/>
    <x v="1"/>
    <x v="2"/>
    <d v="2025-07-17T00:00:00"/>
    <d v="2025-07-27T00:00:00"/>
    <x v="2"/>
    <n v="0"/>
  </r>
  <r>
    <s v="DRG-265"/>
    <s v="Drawing 265"/>
    <x v="5"/>
    <x v="0"/>
    <d v="2025-06-22T00:00:00"/>
    <d v="2025-06-22T00:00:00"/>
    <x v="3"/>
    <n v="0"/>
  </r>
  <r>
    <s v="DRG-266"/>
    <s v="Drawing 266"/>
    <x v="2"/>
    <x v="0"/>
    <d v="2025-03-24T00:00:00"/>
    <d v="2025-04-06T00:00:00"/>
    <x v="0"/>
    <n v="0"/>
  </r>
  <r>
    <s v="DRG-267"/>
    <s v="Drawing 267"/>
    <x v="4"/>
    <x v="3"/>
    <d v="2025-05-02T00:00:00"/>
    <d v="2025-05-13T00:00:00"/>
    <x v="0"/>
    <n v="54"/>
  </r>
  <r>
    <s v="DRG-268"/>
    <s v="Drawing 268"/>
    <x v="2"/>
    <x v="2"/>
    <d v="2025-06-13T00:00:00"/>
    <d v="2025-06-21T00:00:00"/>
    <x v="3"/>
    <n v="0"/>
  </r>
  <r>
    <s v="DRG-269"/>
    <s v="Drawing 269"/>
    <x v="1"/>
    <x v="0"/>
    <d v="2025-05-13T00:00:00"/>
    <d v="2025-05-20T00:00:00"/>
    <x v="2"/>
    <n v="0"/>
  </r>
  <r>
    <s v="DRG-270"/>
    <s v="Drawing 270"/>
    <x v="2"/>
    <x v="0"/>
    <d v="2025-02-07T00:00:00"/>
    <d v="2025-02-16T00:00:00"/>
    <x v="1"/>
    <n v="0"/>
  </r>
  <r>
    <s v="DRG-271"/>
    <s v="Drawing 271"/>
    <x v="4"/>
    <x v="1"/>
    <d v="2025-07-18T00:00:00"/>
    <m/>
    <x v="3"/>
    <n v="0"/>
  </r>
  <r>
    <s v="DRG-272"/>
    <s v="Drawing 272"/>
    <x v="0"/>
    <x v="2"/>
    <d v="2025-02-05T00:00:00"/>
    <d v="2025-02-07T00:00:00"/>
    <x v="4"/>
    <n v="0"/>
  </r>
  <r>
    <s v="DRG-273"/>
    <s v="Drawing 273"/>
    <x v="0"/>
    <x v="3"/>
    <d v="2025-04-25T00:00:00"/>
    <d v="2025-04-28T00:00:00"/>
    <x v="1"/>
    <n v="0"/>
  </r>
  <r>
    <s v="DRG-274"/>
    <s v="Drawing 274"/>
    <x v="1"/>
    <x v="0"/>
    <d v="2025-05-30T00:00:00"/>
    <d v="2025-06-14T00:00:00"/>
    <x v="2"/>
    <n v="0"/>
  </r>
  <r>
    <s v="DRG-275"/>
    <s v="Drawing 275"/>
    <x v="0"/>
    <x v="0"/>
    <d v="2025-02-04T00:00:00"/>
    <m/>
    <x v="3"/>
    <n v="0"/>
  </r>
  <r>
    <s v="DRG-276"/>
    <s v="Drawing 276"/>
    <x v="1"/>
    <x v="3"/>
    <d v="2025-07-12T00:00:00"/>
    <d v="2025-07-18T00:00:00"/>
    <x v="3"/>
    <n v="0"/>
  </r>
  <r>
    <s v="DRG-277"/>
    <s v="Drawing 277"/>
    <x v="5"/>
    <x v="1"/>
    <d v="2025-03-17T00:00:00"/>
    <m/>
    <x v="3"/>
    <n v="0"/>
  </r>
  <r>
    <s v="DRG-278"/>
    <s v="Drawing 278"/>
    <x v="0"/>
    <x v="3"/>
    <d v="2025-07-07T00:00:00"/>
    <d v="2025-07-07T00:00:00"/>
    <x v="1"/>
    <n v="0"/>
  </r>
  <r>
    <s v="DRG-279"/>
    <s v="Drawing 279"/>
    <x v="1"/>
    <x v="2"/>
    <d v="2025-03-26T00:00:00"/>
    <m/>
    <x v="4"/>
    <n v="0"/>
  </r>
  <r>
    <s v="DRG-280"/>
    <s v="Drawing 280"/>
    <x v="0"/>
    <x v="2"/>
    <d v="2025-04-20T00:00:00"/>
    <d v="2025-04-20T00:00:00"/>
    <x v="4"/>
    <n v="0"/>
  </r>
  <r>
    <s v="DRG-281"/>
    <s v="Drawing 281"/>
    <x v="2"/>
    <x v="0"/>
    <d v="2025-06-29T00:00:00"/>
    <d v="2025-07-12T00:00:00"/>
    <x v="2"/>
    <n v="0"/>
  </r>
  <r>
    <s v="DRG-282"/>
    <s v="Drawing 282"/>
    <x v="0"/>
    <x v="0"/>
    <d v="2025-03-30T00:00:00"/>
    <d v="2025-03-30T00:00:00"/>
    <x v="1"/>
    <n v="0"/>
  </r>
  <r>
    <s v="DRG-283"/>
    <s v="Drawing 283"/>
    <x v="1"/>
    <x v="2"/>
    <d v="2025-07-22T00:00:00"/>
    <m/>
    <x v="0"/>
    <n v="0"/>
  </r>
  <r>
    <s v="DRG-284"/>
    <s v="Drawing 284"/>
    <x v="5"/>
    <x v="1"/>
    <d v="2025-03-29T00:00:00"/>
    <d v="2025-04-06T00:00:00"/>
    <x v="3"/>
    <n v="0"/>
  </r>
  <r>
    <s v="DRG-285"/>
    <s v="Drawing 285"/>
    <x v="1"/>
    <x v="1"/>
    <d v="2025-10-25T00:00:00"/>
    <d v="2025-10-30T00:00:00"/>
    <x v="2"/>
    <n v="0"/>
  </r>
  <r>
    <s v="DRG-286"/>
    <s v="Drawing 286"/>
    <x v="1"/>
    <x v="1"/>
    <d v="2025-04-03T00:00:00"/>
    <d v="2025-04-10T00:00:00"/>
    <x v="1"/>
    <n v="0"/>
  </r>
  <r>
    <s v="DRG-287"/>
    <s v="Drawing 287"/>
    <x v="5"/>
    <x v="3"/>
    <d v="2025-06-28T00:00:00"/>
    <d v="2025-06-30T00:00:00"/>
    <x v="3"/>
    <n v="0"/>
  </r>
  <r>
    <s v="DRG-288"/>
    <s v="Drawing 288"/>
    <x v="0"/>
    <x v="2"/>
    <d v="2025-06-03T00:00:00"/>
    <d v="2025-06-17T00:00:00"/>
    <x v="3"/>
    <n v="0"/>
  </r>
  <r>
    <s v="DRG-289"/>
    <s v="Drawing 289"/>
    <x v="2"/>
    <x v="0"/>
    <d v="2025-04-08T00:00:00"/>
    <d v="2025-04-13T00:00:00"/>
    <x v="0"/>
    <n v="0"/>
  </r>
  <r>
    <s v="DRG-290"/>
    <s v="Drawing 290"/>
    <x v="2"/>
    <x v="1"/>
    <d v="2025-01-26T00:00:00"/>
    <d v="2025-02-02T00:00:00"/>
    <x v="3"/>
    <n v="0"/>
  </r>
  <r>
    <s v="DRG-291"/>
    <s v="Drawing 291"/>
    <x v="1"/>
    <x v="2"/>
    <d v="2025-05-29T00:00:00"/>
    <d v="2025-06-04T00:00:00"/>
    <x v="1"/>
    <n v="0"/>
  </r>
  <r>
    <s v="DRG-292"/>
    <s v="Drawing 292"/>
    <x v="0"/>
    <x v="2"/>
    <d v="2025-04-21T00:00:00"/>
    <d v="2025-04-25T00:00:00"/>
    <x v="2"/>
    <n v="0"/>
  </r>
  <r>
    <s v="DRG-293"/>
    <s v="Drawing 293"/>
    <x v="5"/>
    <x v="3"/>
    <d v="2025-10-23T00:00:00"/>
    <d v="2025-11-04T00:00:00"/>
    <x v="0"/>
    <n v="0"/>
  </r>
  <r>
    <s v="DRG-294"/>
    <s v="Drawing 294"/>
    <x v="1"/>
    <x v="0"/>
    <d v="2025-04-24T00:00:00"/>
    <d v="2025-05-07T00:00:00"/>
    <x v="1"/>
    <n v="0"/>
  </r>
  <r>
    <s v="DRG-295"/>
    <s v="Drawing 295"/>
    <x v="4"/>
    <x v="2"/>
    <d v="2025-01-29T00:00:00"/>
    <d v="2025-02-10T00:00:00"/>
    <x v="4"/>
    <n v="0"/>
  </r>
  <r>
    <s v="DRG-296"/>
    <s v="Drawing 296"/>
    <x v="1"/>
    <x v="0"/>
    <d v="2025-06-12T00:00:00"/>
    <d v="2025-06-13T00:00:00"/>
    <x v="2"/>
    <n v="0"/>
  </r>
  <r>
    <s v="DRG-297"/>
    <s v="Drawing 297"/>
    <x v="5"/>
    <x v="0"/>
    <d v="2025-04-06T00:00:00"/>
    <d v="2025-04-06T00:00:00"/>
    <x v="4"/>
    <n v="0"/>
  </r>
  <r>
    <s v="DRG-298"/>
    <s v="Drawing 298"/>
    <x v="1"/>
    <x v="0"/>
    <d v="2025-04-13T00:00:00"/>
    <m/>
    <x v="1"/>
    <n v="0"/>
  </r>
  <r>
    <s v="DRG-299"/>
    <s v="Drawing 299"/>
    <x v="5"/>
    <x v="1"/>
    <d v="2025-09-02T00:00:00"/>
    <d v="2025-09-02T00:00:00"/>
    <x v="4"/>
    <n v="0"/>
  </r>
  <r>
    <s v="DRG-300"/>
    <s v="Drawing 300"/>
    <x v="2"/>
    <x v="0"/>
    <d v="2025-08-03T00:00:00"/>
    <d v="2025-08-16T00:00:00"/>
    <x v="1"/>
    <n v="0"/>
  </r>
  <r>
    <s v="DRG-301"/>
    <s v="Drawing 301"/>
    <x v="5"/>
    <x v="2"/>
    <d v="2025-06-03T00:00:00"/>
    <d v="2025-06-08T00:00:00"/>
    <x v="1"/>
    <n v="0"/>
  </r>
  <r>
    <s v="DRG-302"/>
    <s v="Drawing 302"/>
    <x v="0"/>
    <x v="1"/>
    <d v="2025-09-28T00:00:00"/>
    <d v="2025-10-11T00:00:00"/>
    <x v="4"/>
    <n v="0"/>
  </r>
  <r>
    <s v="DRG-303"/>
    <s v="Drawing 303"/>
    <x v="1"/>
    <x v="3"/>
    <d v="2025-01-29T00:00:00"/>
    <d v="2025-02-12T00:00:00"/>
    <x v="4"/>
    <n v="0"/>
  </r>
  <r>
    <s v="DRG-304"/>
    <s v="Drawing 304"/>
    <x v="4"/>
    <x v="0"/>
    <d v="2025-08-05T00:00:00"/>
    <d v="2025-08-19T00:00:00"/>
    <x v="1"/>
    <n v="0"/>
  </r>
  <r>
    <s v="DRG-305"/>
    <s v="Drawing 305"/>
    <x v="1"/>
    <x v="3"/>
    <d v="2025-07-25T00:00:00"/>
    <d v="2025-08-07T00:00:00"/>
    <x v="2"/>
    <n v="0"/>
  </r>
  <r>
    <s v="DRG-306"/>
    <s v="Drawing 306"/>
    <x v="4"/>
    <x v="0"/>
    <d v="2025-09-28T00:00:00"/>
    <d v="2025-10-07T00:00:00"/>
    <x v="1"/>
    <n v="0"/>
  </r>
  <r>
    <s v="DRG-307"/>
    <s v="Drawing 307"/>
    <x v="1"/>
    <x v="3"/>
    <d v="2025-01-22T00:00:00"/>
    <m/>
    <x v="3"/>
    <n v="0"/>
  </r>
  <r>
    <s v="DRG-308"/>
    <s v="Drawing 308"/>
    <x v="1"/>
    <x v="2"/>
    <d v="2025-08-20T00:00:00"/>
    <d v="2025-09-03T00:00:00"/>
    <x v="1"/>
    <n v="0"/>
  </r>
  <r>
    <s v="DRG-309"/>
    <s v="Drawing 309"/>
    <x v="4"/>
    <x v="1"/>
    <d v="2025-05-25T00:00:00"/>
    <d v="2025-06-06T00:00:00"/>
    <x v="0"/>
    <n v="142"/>
  </r>
  <r>
    <s v="DRG-310"/>
    <s v="Drawing 310"/>
    <x v="5"/>
    <x v="3"/>
    <d v="2025-04-24T00:00:00"/>
    <d v="2025-05-04T00:00:00"/>
    <x v="0"/>
    <n v="54"/>
  </r>
  <r>
    <s v="DRG-311"/>
    <s v="Drawing 311"/>
    <x v="4"/>
    <x v="0"/>
    <d v="2025-01-24T00:00:00"/>
    <d v="2025-02-05T00:00:00"/>
    <x v="0"/>
    <n v="249"/>
  </r>
  <r>
    <s v="DRG-312"/>
    <s v="Drawing 312"/>
    <x v="0"/>
    <x v="3"/>
    <d v="2025-07-07T00:00:00"/>
    <d v="2025-07-12T00:00:00"/>
    <x v="3"/>
    <n v="0"/>
  </r>
  <r>
    <s v="DRG-313"/>
    <s v="Drawing 313"/>
    <x v="5"/>
    <x v="1"/>
    <d v="2025-06-24T00:00:00"/>
    <d v="2025-07-05T00:00:00"/>
    <x v="2"/>
    <n v="0"/>
  </r>
  <r>
    <s v="DRG-314"/>
    <s v="Drawing 314"/>
    <x v="4"/>
    <x v="1"/>
    <d v="2025-04-19T00:00:00"/>
    <d v="2025-04-21T00:00:00"/>
    <x v="0"/>
    <n v="0"/>
  </r>
  <r>
    <s v="DRG-315"/>
    <s v="Drawing 315"/>
    <x v="4"/>
    <x v="1"/>
    <d v="2025-05-29T00:00:00"/>
    <d v="2025-06-01T00:00:00"/>
    <x v="2"/>
    <n v="0"/>
  </r>
  <r>
    <s v="DRG-316"/>
    <s v="Drawing 316"/>
    <x v="0"/>
    <x v="3"/>
    <d v="2025-08-18T00:00:00"/>
    <d v="2025-08-29T00:00:00"/>
    <x v="0"/>
    <n v="0"/>
  </r>
  <r>
    <s v="DRG-317"/>
    <s v="Drawing 317"/>
    <x v="2"/>
    <x v="1"/>
    <d v="2025-03-29T00:00:00"/>
    <d v="2025-04-13T00:00:00"/>
    <x v="1"/>
    <n v="0"/>
  </r>
  <r>
    <s v="DRG-318"/>
    <s v="Drawing 318"/>
    <x v="1"/>
    <x v="0"/>
    <d v="2025-02-03T00:00:00"/>
    <d v="2025-02-06T00:00:00"/>
    <x v="2"/>
    <n v="0"/>
  </r>
  <r>
    <s v="DRG-319"/>
    <s v="Drawing 319"/>
    <x v="1"/>
    <x v="2"/>
    <d v="2025-08-21T00:00:00"/>
    <d v="2025-08-25T00:00:00"/>
    <x v="0"/>
    <n v="243"/>
  </r>
  <r>
    <s v="DRG-320"/>
    <s v="Drawing 320"/>
    <x v="4"/>
    <x v="2"/>
    <d v="2025-08-22T00:00:00"/>
    <d v="2025-08-25T00:00:00"/>
    <x v="3"/>
    <n v="0"/>
  </r>
  <r>
    <s v="DRG-321"/>
    <s v="Drawing 321"/>
    <x v="2"/>
    <x v="2"/>
    <d v="2025-02-03T00:00:00"/>
    <d v="2025-02-17T00:00:00"/>
    <x v="2"/>
    <n v="0"/>
  </r>
  <r>
    <s v="DRG-322"/>
    <s v="Drawing 322"/>
    <x v="4"/>
    <x v="2"/>
    <d v="2025-01-20T00:00:00"/>
    <m/>
    <x v="4"/>
    <n v="0"/>
  </r>
  <r>
    <s v="DRG-323"/>
    <s v="Drawing 323"/>
    <x v="2"/>
    <x v="0"/>
    <d v="2025-05-20T00:00:00"/>
    <d v="2025-06-02T00:00:00"/>
    <x v="2"/>
    <n v="0"/>
  </r>
  <r>
    <s v="DRG-324"/>
    <s v="Drawing 324"/>
    <x v="0"/>
    <x v="0"/>
    <d v="2025-07-27T00:00:00"/>
    <d v="2025-08-11T00:00:00"/>
    <x v="4"/>
    <n v="0"/>
  </r>
  <r>
    <s v="DRG-325"/>
    <s v="Drawing 325"/>
    <x v="5"/>
    <x v="1"/>
    <d v="2025-04-26T00:00:00"/>
    <d v="2025-05-02T00:00:00"/>
    <x v="1"/>
    <n v="0"/>
  </r>
  <r>
    <s v="DRG-326"/>
    <s v="Drawing 326"/>
    <x v="5"/>
    <x v="0"/>
    <d v="2025-04-06T00:00:00"/>
    <d v="2025-04-14T00:00:00"/>
    <x v="4"/>
    <n v="0"/>
  </r>
  <r>
    <s v="DRG-327"/>
    <s v="Drawing 327"/>
    <x v="4"/>
    <x v="1"/>
    <d v="2025-02-20T00:00:00"/>
    <d v="2025-02-26T00:00:00"/>
    <x v="4"/>
    <n v="0"/>
  </r>
  <r>
    <s v="DRG-328"/>
    <s v="Drawing 328"/>
    <x v="1"/>
    <x v="3"/>
    <d v="2025-08-24T00:00:00"/>
    <d v="2025-08-25T00:00:00"/>
    <x v="1"/>
    <n v="0"/>
  </r>
  <r>
    <s v="DRG-329"/>
    <s v="Drawing 329"/>
    <x v="4"/>
    <x v="2"/>
    <d v="2025-08-14T00:00:00"/>
    <d v="2025-08-17T00:00:00"/>
    <x v="2"/>
    <n v="0"/>
  </r>
  <r>
    <s v="DRG-330"/>
    <s v="Drawing 330"/>
    <x v="0"/>
    <x v="2"/>
    <d v="2025-01-12T00:00:00"/>
    <d v="2025-01-20T00:00:00"/>
    <x v="0"/>
    <n v="51"/>
  </r>
  <r>
    <s v="DRG-331"/>
    <s v="Drawing 331"/>
    <x v="5"/>
    <x v="0"/>
    <d v="2025-10-08T00:00:00"/>
    <d v="2025-10-10T00:00:00"/>
    <x v="0"/>
    <n v="0"/>
  </r>
  <r>
    <s v="DRG-332"/>
    <s v="Drawing 332"/>
    <x v="1"/>
    <x v="0"/>
    <d v="2025-06-13T00:00:00"/>
    <d v="2025-06-27T00:00:00"/>
    <x v="0"/>
    <n v="0"/>
  </r>
  <r>
    <s v="DRG-333"/>
    <s v="Drawing 333"/>
    <x v="0"/>
    <x v="2"/>
    <d v="2025-09-15T00:00:00"/>
    <d v="2025-09-30T00:00:00"/>
    <x v="1"/>
    <n v="0"/>
  </r>
  <r>
    <s v="DRG-334"/>
    <s v="Drawing 334"/>
    <x v="1"/>
    <x v="1"/>
    <d v="2025-10-02T00:00:00"/>
    <m/>
    <x v="3"/>
    <n v="0"/>
  </r>
  <r>
    <s v="DRG-335"/>
    <s v="Drawing 335"/>
    <x v="4"/>
    <x v="3"/>
    <d v="2025-03-19T00:00:00"/>
    <d v="2025-03-22T00:00:00"/>
    <x v="1"/>
    <n v="0"/>
  </r>
  <r>
    <s v="DRG-336"/>
    <s v="Drawing 336"/>
    <x v="5"/>
    <x v="3"/>
    <d v="2025-10-14T00:00:00"/>
    <d v="2025-10-27T00:00:00"/>
    <x v="0"/>
    <n v="226"/>
  </r>
  <r>
    <s v="DRG-337"/>
    <s v="Drawing 337"/>
    <x v="1"/>
    <x v="1"/>
    <d v="2025-04-26T00:00:00"/>
    <d v="2025-05-10T00:00:00"/>
    <x v="1"/>
    <n v="0"/>
  </r>
  <r>
    <s v="DRG-338"/>
    <s v="Drawing 338"/>
    <x v="0"/>
    <x v="1"/>
    <d v="2025-08-13T00:00:00"/>
    <m/>
    <x v="1"/>
    <n v="0"/>
  </r>
  <r>
    <s v="DRG-339"/>
    <s v="Drawing 339"/>
    <x v="5"/>
    <x v="0"/>
    <d v="2025-05-12T00:00:00"/>
    <d v="2025-05-25T00:00:00"/>
    <x v="2"/>
    <n v="0"/>
  </r>
  <r>
    <s v="DRG-340"/>
    <s v="Drawing 340"/>
    <x v="5"/>
    <x v="0"/>
    <d v="2025-08-13T00:00:00"/>
    <d v="2025-08-25T00:00:00"/>
    <x v="0"/>
    <n v="170"/>
  </r>
  <r>
    <s v="DRG-341"/>
    <s v="Drawing 341"/>
    <x v="0"/>
    <x v="3"/>
    <d v="2025-01-21T00:00:00"/>
    <d v="2025-01-24T00:00:00"/>
    <x v="3"/>
    <n v="0"/>
  </r>
  <r>
    <s v="DRG-342"/>
    <s v="Drawing 342"/>
    <x v="0"/>
    <x v="1"/>
    <d v="2025-07-07T00:00:00"/>
    <d v="2025-07-21T00:00:00"/>
    <x v="3"/>
    <n v="0"/>
  </r>
  <r>
    <s v="DRG-343"/>
    <s v="Drawing 343"/>
    <x v="4"/>
    <x v="0"/>
    <d v="2025-09-18T00:00:00"/>
    <d v="2025-09-19T00:00:00"/>
    <x v="4"/>
    <n v="0"/>
  </r>
  <r>
    <s v="DRG-344"/>
    <s v="Drawing 344"/>
    <x v="0"/>
    <x v="1"/>
    <d v="2025-05-12T00:00:00"/>
    <d v="2025-05-16T00:00:00"/>
    <x v="1"/>
    <n v="0"/>
  </r>
  <r>
    <s v="DRG-345"/>
    <s v="Drawing 345"/>
    <x v="4"/>
    <x v="2"/>
    <d v="2025-06-18T00:00:00"/>
    <d v="2025-06-18T00:00:00"/>
    <x v="4"/>
    <n v="0"/>
  </r>
  <r>
    <s v="DRG-346"/>
    <s v="Drawing 346"/>
    <x v="0"/>
    <x v="3"/>
    <d v="2025-01-30T00:00:00"/>
    <d v="2025-02-09T00:00:00"/>
    <x v="2"/>
    <n v="0"/>
  </r>
  <r>
    <s v="DRG-347"/>
    <s v="Drawing 347"/>
    <x v="4"/>
    <x v="3"/>
    <d v="2025-02-19T00:00:00"/>
    <d v="2025-02-25T00:00:00"/>
    <x v="1"/>
    <n v="0"/>
  </r>
  <r>
    <s v="DRG-348"/>
    <s v="Drawing 348"/>
    <x v="5"/>
    <x v="1"/>
    <d v="2025-08-08T00:00:00"/>
    <d v="2025-08-16T00:00:00"/>
    <x v="2"/>
    <n v="0"/>
  </r>
  <r>
    <s v="DRG-349"/>
    <s v="Drawing 349"/>
    <x v="2"/>
    <x v="2"/>
    <d v="2025-06-06T00:00:00"/>
    <d v="2025-06-15T00:00:00"/>
    <x v="4"/>
    <n v="0"/>
  </r>
  <r>
    <s v="DRG-350"/>
    <s v="Drawing 350"/>
    <x v="4"/>
    <x v="0"/>
    <d v="2025-06-15T00:00:00"/>
    <d v="2025-06-30T00:00:00"/>
    <x v="0"/>
    <n v="0"/>
  </r>
  <r>
    <s v="DRG-351"/>
    <s v="Drawing 351"/>
    <x v="0"/>
    <x v="3"/>
    <d v="2025-02-28T00:00:00"/>
    <d v="2025-03-14T00:00:00"/>
    <x v="3"/>
    <n v="0"/>
  </r>
  <r>
    <s v="DRG-352"/>
    <s v="Drawing 352"/>
    <x v="1"/>
    <x v="2"/>
    <d v="2025-01-27T00:00:00"/>
    <m/>
    <x v="3"/>
    <n v="0"/>
  </r>
  <r>
    <s v="DRG-353"/>
    <s v="Drawing 353"/>
    <x v="1"/>
    <x v="1"/>
    <d v="2025-03-11T00:00:00"/>
    <d v="2025-03-12T00:00:00"/>
    <x v="0"/>
    <n v="95"/>
  </r>
  <r>
    <s v="DRG-354"/>
    <s v="Drawing 354"/>
    <x v="5"/>
    <x v="0"/>
    <d v="2025-02-04T00:00:00"/>
    <m/>
    <x v="1"/>
    <n v="0"/>
  </r>
  <r>
    <s v="DRG-355"/>
    <s v="Drawing 355"/>
    <x v="0"/>
    <x v="0"/>
    <d v="2025-07-10T00:00:00"/>
    <d v="2025-07-16T00:00:00"/>
    <x v="4"/>
    <n v="0"/>
  </r>
  <r>
    <s v="DRG-356"/>
    <s v="Drawing 356"/>
    <x v="5"/>
    <x v="2"/>
    <d v="2025-04-25T00:00:00"/>
    <d v="2025-05-04T00:00:00"/>
    <x v="4"/>
    <n v="0"/>
  </r>
  <r>
    <s v="DRG-357"/>
    <s v="Drawing 357"/>
    <x v="5"/>
    <x v="2"/>
    <d v="2025-10-27T00:00:00"/>
    <d v="2025-10-30T00:00:00"/>
    <x v="2"/>
    <n v="0"/>
  </r>
  <r>
    <s v="DRG-358"/>
    <s v="Drawing 358"/>
    <x v="1"/>
    <x v="2"/>
    <d v="2025-08-26T00:00:00"/>
    <m/>
    <x v="1"/>
    <n v="0"/>
  </r>
  <r>
    <s v="DRG-359"/>
    <s v="Drawing 359"/>
    <x v="4"/>
    <x v="2"/>
    <d v="2025-07-02T00:00:00"/>
    <d v="2025-07-03T00:00:00"/>
    <x v="0"/>
    <n v="252"/>
  </r>
  <r>
    <s v="DRG-360"/>
    <s v="Drawing 360"/>
    <x v="0"/>
    <x v="0"/>
    <d v="2025-10-11T00:00:00"/>
    <d v="2025-10-24T00:00:00"/>
    <x v="2"/>
    <n v="0"/>
  </r>
  <r>
    <s v="DRG-361"/>
    <s v="Drawing 361"/>
    <x v="4"/>
    <x v="3"/>
    <d v="2025-07-04T00:00:00"/>
    <d v="2025-07-18T00:00:00"/>
    <x v="1"/>
    <n v="0"/>
  </r>
  <r>
    <s v="DRG-362"/>
    <s v="Drawing 362"/>
    <x v="2"/>
    <x v="0"/>
    <d v="2025-01-31T00:00:00"/>
    <d v="2025-02-08T00:00:00"/>
    <x v="4"/>
    <n v="0"/>
  </r>
  <r>
    <s v="DRG-363"/>
    <s v="Drawing 363"/>
    <x v="1"/>
    <x v="1"/>
    <d v="2025-04-16T00:00:00"/>
    <d v="2025-04-30T00:00:00"/>
    <x v="3"/>
    <n v="0"/>
  </r>
  <r>
    <s v="DRG-364"/>
    <s v="Drawing 364"/>
    <x v="5"/>
    <x v="3"/>
    <d v="2025-02-26T00:00:00"/>
    <d v="2025-02-26T00:00:00"/>
    <x v="4"/>
    <n v="0"/>
  </r>
  <r>
    <s v="DRG-365"/>
    <s v="Drawing 365"/>
    <x v="2"/>
    <x v="3"/>
    <d v="2025-08-29T00:00:00"/>
    <d v="2025-09-01T00:00:00"/>
    <x v="2"/>
    <n v="0"/>
  </r>
  <r>
    <s v="DRG-366"/>
    <s v="Drawing 366"/>
    <x v="5"/>
    <x v="2"/>
    <d v="2025-02-24T00:00:00"/>
    <d v="2025-03-03T00:00:00"/>
    <x v="2"/>
    <n v="0"/>
  </r>
  <r>
    <s v="DRG-367"/>
    <s v="Drawing 367"/>
    <x v="0"/>
    <x v="1"/>
    <d v="2025-05-16T00:00:00"/>
    <d v="2025-05-28T00:00:00"/>
    <x v="1"/>
    <n v="0"/>
  </r>
  <r>
    <s v="DRG-368"/>
    <s v="Drawing 368"/>
    <x v="4"/>
    <x v="0"/>
    <d v="2025-04-03T00:00:00"/>
    <d v="2025-04-10T00:00:00"/>
    <x v="3"/>
    <n v="0"/>
  </r>
  <r>
    <s v="DRG-369"/>
    <s v="Drawing 369"/>
    <x v="5"/>
    <x v="3"/>
    <d v="2025-01-27T00:00:00"/>
    <d v="2025-01-27T00:00:00"/>
    <x v="0"/>
    <n v="0"/>
  </r>
  <r>
    <s v="DRG-370"/>
    <s v="Drawing 370"/>
    <x v="0"/>
    <x v="0"/>
    <d v="2025-06-01T00:00:00"/>
    <d v="2025-06-04T00:00:00"/>
    <x v="4"/>
    <n v="0"/>
  </r>
  <r>
    <s v="DRG-371"/>
    <s v="Drawing 371"/>
    <x v="0"/>
    <x v="0"/>
    <d v="2025-09-23T00:00:00"/>
    <m/>
    <x v="4"/>
    <n v="0"/>
  </r>
  <r>
    <s v="DRG-372"/>
    <s v="Drawing 372"/>
    <x v="5"/>
    <x v="0"/>
    <d v="2025-01-13T00:00:00"/>
    <d v="2025-01-13T00:00:00"/>
    <x v="0"/>
    <n v="178"/>
  </r>
  <r>
    <s v="DRG-373"/>
    <s v="Drawing 373"/>
    <x v="5"/>
    <x v="3"/>
    <d v="2025-09-20T00:00:00"/>
    <d v="2025-09-21T00:00:00"/>
    <x v="1"/>
    <n v="0"/>
  </r>
  <r>
    <s v="DRG-374"/>
    <s v="Drawing 374"/>
    <x v="0"/>
    <x v="2"/>
    <d v="2025-10-23T00:00:00"/>
    <m/>
    <x v="0"/>
    <n v="0"/>
  </r>
  <r>
    <s v="DRG-375"/>
    <s v="Drawing 375"/>
    <x v="2"/>
    <x v="2"/>
    <d v="2025-06-19T00:00:00"/>
    <d v="2025-06-25T00:00:00"/>
    <x v="3"/>
    <n v="0"/>
  </r>
  <r>
    <s v="DRG-376"/>
    <s v="Drawing 376"/>
    <x v="0"/>
    <x v="2"/>
    <d v="2025-09-23T00:00:00"/>
    <d v="2025-10-02T00:00:00"/>
    <x v="4"/>
    <n v="0"/>
  </r>
  <r>
    <s v="DRG-377"/>
    <s v="Drawing 377"/>
    <x v="5"/>
    <x v="3"/>
    <d v="2025-04-20T00:00:00"/>
    <m/>
    <x v="1"/>
    <n v="0"/>
  </r>
  <r>
    <s v="DRG-378"/>
    <s v="Drawing 378"/>
    <x v="0"/>
    <x v="0"/>
    <d v="2025-05-07T00:00:00"/>
    <d v="2025-05-22T00:00:00"/>
    <x v="0"/>
    <n v="0"/>
  </r>
  <r>
    <s v="DRG-379"/>
    <s v="Drawing 379"/>
    <x v="4"/>
    <x v="3"/>
    <d v="2025-04-26T00:00:00"/>
    <m/>
    <x v="0"/>
    <n v="0"/>
  </r>
  <r>
    <s v="DRG-380"/>
    <s v="Drawing 380"/>
    <x v="1"/>
    <x v="0"/>
    <d v="2025-05-04T00:00:00"/>
    <d v="2025-05-08T00:00:00"/>
    <x v="0"/>
    <n v="187"/>
  </r>
  <r>
    <s v="DRG-381"/>
    <s v="Drawing 381"/>
    <x v="5"/>
    <x v="2"/>
    <d v="2025-10-08T00:00:00"/>
    <d v="2025-10-23T00:00:00"/>
    <x v="4"/>
    <n v="0"/>
  </r>
  <r>
    <s v="DRG-382"/>
    <s v="Drawing 382"/>
    <x v="2"/>
    <x v="2"/>
    <d v="2025-04-26T00:00:00"/>
    <d v="2025-05-01T00:00:00"/>
    <x v="3"/>
    <n v="0"/>
  </r>
  <r>
    <s v="DRG-383"/>
    <s v="Drawing 383"/>
    <x v="0"/>
    <x v="3"/>
    <d v="2025-02-11T00:00:00"/>
    <m/>
    <x v="1"/>
    <n v="0"/>
  </r>
  <r>
    <s v="DRG-384"/>
    <s v="Drawing 384"/>
    <x v="0"/>
    <x v="1"/>
    <d v="2025-04-15T00:00:00"/>
    <d v="2025-04-30T00:00:00"/>
    <x v="1"/>
    <n v="0"/>
  </r>
  <r>
    <s v="DRG-385"/>
    <s v="Drawing 385"/>
    <x v="0"/>
    <x v="3"/>
    <d v="2025-09-09T00:00:00"/>
    <d v="2025-09-12T00:00:00"/>
    <x v="3"/>
    <n v="0"/>
  </r>
  <r>
    <s v="DRG-386"/>
    <s v="Drawing 386"/>
    <x v="2"/>
    <x v="1"/>
    <d v="2025-06-02T00:00:00"/>
    <d v="2025-06-17T00:00:00"/>
    <x v="2"/>
    <n v="0"/>
  </r>
  <r>
    <s v="DRG-387"/>
    <s v="Drawing 387"/>
    <x v="1"/>
    <x v="1"/>
    <d v="2025-01-09T00:00:00"/>
    <d v="2025-01-19T00:00:00"/>
    <x v="0"/>
    <n v="0"/>
  </r>
  <r>
    <s v="DRG-388"/>
    <s v="Drawing 388"/>
    <x v="1"/>
    <x v="3"/>
    <d v="2025-06-02T00:00:00"/>
    <d v="2025-06-15T00:00:00"/>
    <x v="4"/>
    <n v="0"/>
  </r>
  <r>
    <s v="DRG-389"/>
    <s v="Drawing 389"/>
    <x v="5"/>
    <x v="2"/>
    <d v="2025-04-15T00:00:00"/>
    <d v="2025-04-24T00:00:00"/>
    <x v="2"/>
    <n v="0"/>
  </r>
  <r>
    <s v="DRG-390"/>
    <s v="Drawing 390"/>
    <x v="5"/>
    <x v="0"/>
    <d v="2025-04-26T00:00:00"/>
    <d v="2025-05-02T00:00:00"/>
    <x v="4"/>
    <n v="0"/>
  </r>
  <r>
    <s v="DRG-391"/>
    <s v="Drawing 391"/>
    <x v="4"/>
    <x v="1"/>
    <d v="2025-09-19T00:00:00"/>
    <m/>
    <x v="0"/>
    <n v="242"/>
  </r>
  <r>
    <s v="DRG-392"/>
    <s v="Drawing 392"/>
    <x v="5"/>
    <x v="0"/>
    <d v="2025-09-06T00:00:00"/>
    <m/>
    <x v="3"/>
    <n v="0"/>
  </r>
  <r>
    <s v="DRG-393"/>
    <s v="Drawing 393"/>
    <x v="0"/>
    <x v="1"/>
    <d v="2025-04-11T00:00:00"/>
    <d v="2025-04-11T00:00:00"/>
    <x v="4"/>
    <n v="0"/>
  </r>
  <r>
    <s v="DRG-394"/>
    <s v="Drawing 394"/>
    <x v="0"/>
    <x v="0"/>
    <d v="2025-09-19T00:00:00"/>
    <d v="2025-09-27T00:00:00"/>
    <x v="0"/>
    <n v="0"/>
  </r>
  <r>
    <s v="DRG-395"/>
    <s v="Drawing 395"/>
    <x v="2"/>
    <x v="3"/>
    <d v="2025-04-01T00:00:00"/>
    <d v="2025-04-14T00:00:00"/>
    <x v="2"/>
    <n v="0"/>
  </r>
  <r>
    <s v="DRG-396"/>
    <s v="Drawing 396"/>
    <x v="2"/>
    <x v="1"/>
    <d v="2025-09-06T00:00:00"/>
    <d v="2025-09-15T00:00:00"/>
    <x v="4"/>
    <n v="0"/>
  </r>
  <r>
    <s v="DRG-397"/>
    <s v="Drawing 397"/>
    <x v="0"/>
    <x v="2"/>
    <d v="2025-04-21T00:00:00"/>
    <d v="2025-05-01T00:00:00"/>
    <x v="2"/>
    <n v="0"/>
  </r>
  <r>
    <s v="DRG-398"/>
    <s v="Drawing 398"/>
    <x v="5"/>
    <x v="2"/>
    <d v="2025-03-31T00:00:00"/>
    <d v="2025-04-09T00:00:00"/>
    <x v="4"/>
    <n v="0"/>
  </r>
  <r>
    <s v="DRG-399"/>
    <s v="Drawing 399"/>
    <x v="1"/>
    <x v="0"/>
    <d v="2025-07-01T00:00:00"/>
    <d v="2025-07-05T00:00:00"/>
    <x v="1"/>
    <n v="0"/>
  </r>
  <r>
    <s v="DRG-400"/>
    <s v="Drawing 400"/>
    <x v="4"/>
    <x v="3"/>
    <d v="2025-02-20T00:00:00"/>
    <d v="2025-02-23T00:00:00"/>
    <x v="1"/>
    <n v="0"/>
  </r>
  <r>
    <s v="DRG-401"/>
    <s v="Drawing 401"/>
    <x v="5"/>
    <x v="0"/>
    <d v="2025-10-23T00:00:00"/>
    <d v="2025-10-29T00:00:00"/>
    <x v="3"/>
    <n v="0"/>
  </r>
  <r>
    <s v="DRG-402"/>
    <s v="Drawing 402"/>
    <x v="5"/>
    <x v="3"/>
    <d v="2025-01-07T00:00:00"/>
    <d v="2025-01-15T00:00:00"/>
    <x v="2"/>
    <n v="0"/>
  </r>
  <r>
    <s v="DRG-403"/>
    <s v="Drawing 403"/>
    <x v="5"/>
    <x v="3"/>
    <d v="2025-07-22T00:00:00"/>
    <d v="2025-07-23T00:00:00"/>
    <x v="2"/>
    <n v="0"/>
  </r>
  <r>
    <s v="DRG-404"/>
    <s v="Drawing 404"/>
    <x v="2"/>
    <x v="3"/>
    <d v="2025-10-05T00:00:00"/>
    <d v="2025-10-14T00:00:00"/>
    <x v="3"/>
    <n v="0"/>
  </r>
  <r>
    <s v="DRG-405"/>
    <s v="Drawing 405"/>
    <x v="0"/>
    <x v="1"/>
    <d v="2025-09-24T00:00:00"/>
    <d v="2025-10-07T00:00:00"/>
    <x v="1"/>
    <n v="0"/>
  </r>
  <r>
    <s v="DRG-406"/>
    <s v="Drawing 406"/>
    <x v="5"/>
    <x v="0"/>
    <d v="2025-10-16T00:00:00"/>
    <d v="2025-10-27T00:00:00"/>
    <x v="3"/>
    <n v="0"/>
  </r>
  <r>
    <s v="DRG-407"/>
    <s v="Drawing 407"/>
    <x v="0"/>
    <x v="3"/>
    <d v="2025-10-09T00:00:00"/>
    <d v="2025-10-18T00:00:00"/>
    <x v="4"/>
    <n v="0"/>
  </r>
  <r>
    <s v="DRG-408"/>
    <s v="Drawing 408"/>
    <x v="2"/>
    <x v="2"/>
    <d v="2025-06-04T00:00:00"/>
    <d v="2025-06-05T00:00:00"/>
    <x v="4"/>
    <n v="0"/>
  </r>
  <r>
    <s v="DRG-409"/>
    <s v="Drawing 409"/>
    <x v="5"/>
    <x v="2"/>
    <d v="2025-01-09T00:00:00"/>
    <d v="2025-01-15T00:00:00"/>
    <x v="0"/>
    <n v="130"/>
  </r>
  <r>
    <s v="DRG-410"/>
    <s v="Drawing 410"/>
    <x v="4"/>
    <x v="3"/>
    <d v="2025-07-16T00:00:00"/>
    <d v="2025-07-25T00:00:00"/>
    <x v="3"/>
    <n v="0"/>
  </r>
  <r>
    <s v="DRG-411"/>
    <s v="Drawing 411"/>
    <x v="1"/>
    <x v="1"/>
    <d v="2025-03-22T00:00:00"/>
    <d v="2025-03-28T00:00:00"/>
    <x v="2"/>
    <n v="0"/>
  </r>
  <r>
    <s v="DRG-412"/>
    <s v="Drawing 412"/>
    <x v="2"/>
    <x v="2"/>
    <d v="2025-01-12T00:00:00"/>
    <d v="2025-01-25T00:00:00"/>
    <x v="1"/>
    <n v="0"/>
  </r>
  <r>
    <s v="DRG-413"/>
    <s v="Drawing 413"/>
    <x v="5"/>
    <x v="1"/>
    <d v="2025-07-15T00:00:00"/>
    <d v="2025-07-19T00:00:00"/>
    <x v="0"/>
    <n v="0"/>
  </r>
  <r>
    <s v="DRG-414"/>
    <s v="Drawing 414"/>
    <x v="0"/>
    <x v="3"/>
    <d v="2025-09-22T00:00:00"/>
    <d v="2025-09-29T00:00:00"/>
    <x v="2"/>
    <n v="0"/>
  </r>
  <r>
    <s v="DRG-415"/>
    <s v="Drawing 415"/>
    <x v="5"/>
    <x v="1"/>
    <d v="2025-05-22T00:00:00"/>
    <m/>
    <x v="0"/>
    <n v="67"/>
  </r>
  <r>
    <s v="DRG-416"/>
    <s v="Drawing 416"/>
    <x v="0"/>
    <x v="1"/>
    <d v="2025-04-14T00:00:00"/>
    <d v="2025-04-19T00:00:00"/>
    <x v="0"/>
    <n v="275"/>
  </r>
  <r>
    <s v="DRG-417"/>
    <s v="Drawing 417"/>
    <x v="1"/>
    <x v="1"/>
    <d v="2025-06-01T00:00:00"/>
    <m/>
    <x v="4"/>
    <n v="0"/>
  </r>
  <r>
    <s v="DRG-418"/>
    <s v="Drawing 418"/>
    <x v="2"/>
    <x v="1"/>
    <d v="2025-08-04T00:00:00"/>
    <d v="2025-08-05T00:00:00"/>
    <x v="0"/>
    <n v="208"/>
  </r>
  <r>
    <s v="DRG-419"/>
    <s v="Drawing 419"/>
    <x v="2"/>
    <x v="1"/>
    <d v="2025-06-01T00:00:00"/>
    <d v="2025-06-12T00:00:00"/>
    <x v="0"/>
    <n v="270"/>
  </r>
  <r>
    <s v="DRG-420"/>
    <s v="Drawing 420"/>
    <x v="5"/>
    <x v="3"/>
    <d v="2025-06-28T00:00:00"/>
    <m/>
    <x v="2"/>
    <n v="0"/>
  </r>
  <r>
    <s v="DRG-421"/>
    <s v="Drawing 421"/>
    <x v="4"/>
    <x v="1"/>
    <d v="2025-09-29T00:00:00"/>
    <d v="2025-10-12T00:00:00"/>
    <x v="2"/>
    <n v="0"/>
  </r>
  <r>
    <s v="DRG-422"/>
    <s v="Drawing 422"/>
    <x v="5"/>
    <x v="0"/>
    <d v="2025-09-06T00:00:00"/>
    <d v="2025-09-12T00:00:00"/>
    <x v="0"/>
    <n v="0"/>
  </r>
  <r>
    <s v="DRG-423"/>
    <s v="Drawing 423"/>
    <x v="4"/>
    <x v="1"/>
    <d v="2025-09-16T00:00:00"/>
    <d v="2025-09-25T00:00:00"/>
    <x v="2"/>
    <n v="0"/>
  </r>
  <r>
    <s v="DRG-424"/>
    <s v="Drawing 424"/>
    <x v="2"/>
    <x v="1"/>
    <d v="2025-04-21T00:00:00"/>
    <d v="2025-04-24T00:00:00"/>
    <x v="4"/>
    <n v="0"/>
  </r>
  <r>
    <s v="DRG-425"/>
    <s v="Drawing 425"/>
    <x v="5"/>
    <x v="0"/>
    <d v="2025-08-31T00:00:00"/>
    <d v="2025-09-12T00:00:00"/>
    <x v="1"/>
    <n v="0"/>
  </r>
  <r>
    <s v="DRG-426"/>
    <s v="Drawing 426"/>
    <x v="2"/>
    <x v="2"/>
    <d v="2025-05-16T00:00:00"/>
    <d v="2025-05-23T00:00:00"/>
    <x v="0"/>
    <n v="239"/>
  </r>
  <r>
    <s v="DRG-427"/>
    <s v="Drawing 427"/>
    <x v="2"/>
    <x v="3"/>
    <d v="2025-02-06T00:00:00"/>
    <d v="2025-02-18T00:00:00"/>
    <x v="4"/>
    <n v="0"/>
  </r>
  <r>
    <s v="DRG-428"/>
    <s v="Drawing 428"/>
    <x v="1"/>
    <x v="0"/>
    <d v="2025-05-26T00:00:00"/>
    <d v="2025-06-02T00:00:00"/>
    <x v="4"/>
    <n v="0"/>
  </r>
  <r>
    <s v="DRG-429"/>
    <s v="Drawing 429"/>
    <x v="4"/>
    <x v="2"/>
    <d v="2025-02-13T00:00:00"/>
    <d v="2025-02-27T00:00:00"/>
    <x v="3"/>
    <n v="0"/>
  </r>
  <r>
    <s v="DRG-430"/>
    <s v="Drawing 430"/>
    <x v="4"/>
    <x v="0"/>
    <d v="2025-06-18T00:00:00"/>
    <d v="2025-06-19T00:00:00"/>
    <x v="4"/>
    <n v="0"/>
  </r>
  <r>
    <s v="DRG-431"/>
    <s v="Drawing 431"/>
    <x v="2"/>
    <x v="0"/>
    <d v="2025-09-08T00:00:00"/>
    <d v="2025-09-18T00:00:00"/>
    <x v="1"/>
    <n v="0"/>
  </r>
  <r>
    <s v="DRG-432"/>
    <s v="Drawing 432"/>
    <x v="4"/>
    <x v="0"/>
    <d v="2025-05-17T00:00:00"/>
    <m/>
    <x v="3"/>
    <n v="0"/>
  </r>
  <r>
    <s v="DRG-433"/>
    <s v="Drawing 433"/>
    <x v="1"/>
    <x v="0"/>
    <d v="2025-10-28T00:00:00"/>
    <d v="2025-10-29T00:00:00"/>
    <x v="0"/>
    <n v="281"/>
  </r>
  <r>
    <s v="DRG-434"/>
    <s v="Drawing 434"/>
    <x v="2"/>
    <x v="3"/>
    <d v="2025-01-16T00:00:00"/>
    <d v="2025-01-17T00:00:00"/>
    <x v="3"/>
    <n v="0"/>
  </r>
  <r>
    <s v="DRG-435"/>
    <s v="Drawing 435"/>
    <x v="4"/>
    <x v="1"/>
    <d v="2025-02-02T00:00:00"/>
    <d v="2025-02-13T00:00:00"/>
    <x v="3"/>
    <n v="0"/>
  </r>
  <r>
    <s v="DRG-436"/>
    <s v="Drawing 436"/>
    <x v="4"/>
    <x v="0"/>
    <d v="2025-09-22T00:00:00"/>
    <d v="2025-09-24T00:00:00"/>
    <x v="2"/>
    <n v="0"/>
  </r>
  <r>
    <s v="DRG-437"/>
    <s v="Drawing 437"/>
    <x v="1"/>
    <x v="1"/>
    <d v="2025-09-26T00:00:00"/>
    <m/>
    <x v="3"/>
    <n v="0"/>
  </r>
  <r>
    <s v="DRG-438"/>
    <s v="Drawing 438"/>
    <x v="5"/>
    <x v="1"/>
    <d v="2025-09-05T00:00:00"/>
    <d v="2025-09-15T00:00:00"/>
    <x v="1"/>
    <n v="0"/>
  </r>
  <r>
    <s v="DRG-439"/>
    <s v="Drawing 439"/>
    <x v="4"/>
    <x v="1"/>
    <d v="2025-08-21T00:00:00"/>
    <d v="2025-08-23T00:00:00"/>
    <x v="3"/>
    <n v="0"/>
  </r>
  <r>
    <s v="DRG-440"/>
    <s v="Drawing 440"/>
    <x v="1"/>
    <x v="2"/>
    <d v="2025-04-23T00:00:00"/>
    <d v="2025-04-28T00:00:00"/>
    <x v="1"/>
    <n v="0"/>
  </r>
  <r>
    <s v="DRG-441"/>
    <s v="Drawing 441"/>
    <x v="4"/>
    <x v="0"/>
    <d v="2025-07-15T00:00:00"/>
    <d v="2025-07-20T00:00:00"/>
    <x v="3"/>
    <n v="0"/>
  </r>
  <r>
    <s v="DRG-442"/>
    <s v="Drawing 442"/>
    <x v="4"/>
    <x v="3"/>
    <d v="2025-07-26T00:00:00"/>
    <d v="2025-07-27T00:00:00"/>
    <x v="2"/>
    <n v="0"/>
  </r>
  <r>
    <s v="DRG-443"/>
    <s v="Drawing 443"/>
    <x v="0"/>
    <x v="0"/>
    <d v="2025-07-01T00:00:00"/>
    <d v="2025-07-15T00:00:00"/>
    <x v="0"/>
    <n v="0"/>
  </r>
  <r>
    <s v="DRG-444"/>
    <s v="Drawing 444"/>
    <x v="0"/>
    <x v="0"/>
    <d v="2025-01-25T00:00:00"/>
    <d v="2025-02-04T00:00:00"/>
    <x v="0"/>
    <n v="229"/>
  </r>
  <r>
    <s v="DRG-445"/>
    <s v="Drawing 445"/>
    <x v="4"/>
    <x v="1"/>
    <d v="2025-08-02T00:00:00"/>
    <m/>
    <x v="2"/>
    <n v="0"/>
  </r>
  <r>
    <s v="DRG-446"/>
    <s v="Drawing 446"/>
    <x v="1"/>
    <x v="2"/>
    <d v="2025-08-03T00:00:00"/>
    <d v="2025-08-12T00:00:00"/>
    <x v="3"/>
    <n v="0"/>
  </r>
  <r>
    <s v="DRG-447"/>
    <s v="Drawing 447"/>
    <x v="0"/>
    <x v="1"/>
    <d v="2025-01-09T00:00:00"/>
    <d v="2025-01-18T00:00:00"/>
    <x v="2"/>
    <n v="0"/>
  </r>
  <r>
    <s v="DRG-448"/>
    <s v="Drawing 448"/>
    <x v="4"/>
    <x v="1"/>
    <d v="2025-06-19T00:00:00"/>
    <d v="2025-06-21T00:00:00"/>
    <x v="3"/>
    <n v="0"/>
  </r>
  <r>
    <s v="DRG-449"/>
    <s v="Drawing 449"/>
    <x v="4"/>
    <x v="1"/>
    <d v="2025-10-01T00:00:00"/>
    <m/>
    <x v="2"/>
    <n v="0"/>
  </r>
  <r>
    <s v="DRG-450"/>
    <s v="Drawing 450"/>
    <x v="5"/>
    <x v="0"/>
    <d v="2025-06-09T00:00:00"/>
    <d v="2025-06-23T00:00:00"/>
    <x v="4"/>
    <n v="0"/>
  </r>
  <r>
    <s v="DRG-451"/>
    <s v="Drawing 451"/>
    <x v="4"/>
    <x v="1"/>
    <d v="2025-01-09T00:00:00"/>
    <d v="2025-01-17T00:00:00"/>
    <x v="3"/>
    <n v="0"/>
  </r>
  <r>
    <s v="DRG-452"/>
    <s v="Drawing 452"/>
    <x v="4"/>
    <x v="1"/>
    <d v="2025-06-16T00:00:00"/>
    <d v="2025-06-28T00:00:00"/>
    <x v="1"/>
    <n v="0"/>
  </r>
  <r>
    <s v="DRG-453"/>
    <s v="Drawing 453"/>
    <x v="4"/>
    <x v="2"/>
    <d v="2025-05-17T00:00:00"/>
    <d v="2025-05-28T00:00:00"/>
    <x v="2"/>
    <n v="0"/>
  </r>
  <r>
    <s v="DRG-454"/>
    <s v="Drawing 454"/>
    <x v="4"/>
    <x v="2"/>
    <d v="2025-10-03T00:00:00"/>
    <m/>
    <x v="4"/>
    <n v="0"/>
  </r>
  <r>
    <s v="DRG-455"/>
    <s v="Drawing 455"/>
    <x v="0"/>
    <x v="3"/>
    <d v="2025-10-19T00:00:00"/>
    <d v="2025-10-20T00:00:00"/>
    <x v="1"/>
    <n v="0"/>
  </r>
  <r>
    <s v="DRG-456"/>
    <s v="Drawing 456"/>
    <x v="0"/>
    <x v="1"/>
    <d v="2025-09-20T00:00:00"/>
    <d v="2025-09-20T00:00:00"/>
    <x v="4"/>
    <n v="0"/>
  </r>
  <r>
    <s v="DRG-457"/>
    <s v="Drawing 457"/>
    <x v="4"/>
    <x v="0"/>
    <d v="2025-07-26T00:00:00"/>
    <d v="2025-08-03T00:00:00"/>
    <x v="0"/>
    <n v="93"/>
  </r>
  <r>
    <s v="DRG-458"/>
    <s v="Drawing 458"/>
    <x v="2"/>
    <x v="0"/>
    <d v="2025-10-19T00:00:00"/>
    <d v="2025-10-26T00:00:00"/>
    <x v="0"/>
    <n v="0"/>
  </r>
  <r>
    <s v="DRG-459"/>
    <s v="Drawing 459"/>
    <x v="5"/>
    <x v="3"/>
    <d v="2025-01-15T00:00:00"/>
    <d v="2025-01-22T00:00:00"/>
    <x v="0"/>
    <n v="132"/>
  </r>
  <r>
    <s v="DRG-460"/>
    <s v="Drawing 460"/>
    <x v="0"/>
    <x v="2"/>
    <d v="2025-10-13T00:00:00"/>
    <d v="2025-10-17T00:00:00"/>
    <x v="2"/>
    <n v="0"/>
  </r>
  <r>
    <s v="DRG-461"/>
    <s v="Drawing 461"/>
    <x v="0"/>
    <x v="2"/>
    <d v="2025-04-02T00:00:00"/>
    <d v="2025-04-10T00:00:00"/>
    <x v="3"/>
    <n v="0"/>
  </r>
  <r>
    <s v="DRG-462"/>
    <s v="Drawing 462"/>
    <x v="0"/>
    <x v="1"/>
    <d v="2025-06-21T00:00:00"/>
    <m/>
    <x v="0"/>
    <n v="0"/>
  </r>
  <r>
    <s v="DRG-463"/>
    <s v="Drawing 463"/>
    <x v="5"/>
    <x v="2"/>
    <d v="2025-08-30T00:00:00"/>
    <d v="2025-08-30T00:00:00"/>
    <x v="1"/>
    <n v="0"/>
  </r>
  <r>
    <s v="DRG-464"/>
    <s v="Drawing 464"/>
    <x v="5"/>
    <x v="1"/>
    <d v="2025-05-09T00:00:00"/>
    <d v="2025-05-13T00:00:00"/>
    <x v="3"/>
    <n v="0"/>
  </r>
  <r>
    <s v="DRG-465"/>
    <s v="Drawing 465"/>
    <x v="5"/>
    <x v="3"/>
    <d v="2025-06-13T00:00:00"/>
    <d v="2025-06-14T00:00:00"/>
    <x v="1"/>
    <n v="0"/>
  </r>
  <r>
    <s v="DRG-466"/>
    <s v="Drawing 466"/>
    <x v="0"/>
    <x v="3"/>
    <d v="2025-10-23T00:00:00"/>
    <d v="2025-11-02T00:00:00"/>
    <x v="4"/>
    <n v="0"/>
  </r>
  <r>
    <s v="DRG-467"/>
    <s v="Drawing 467"/>
    <x v="2"/>
    <x v="3"/>
    <d v="2025-07-28T00:00:00"/>
    <m/>
    <x v="0"/>
    <n v="60"/>
  </r>
  <r>
    <s v="DRG-468"/>
    <s v="Drawing 468"/>
    <x v="2"/>
    <x v="2"/>
    <d v="2025-02-07T00:00:00"/>
    <d v="2025-02-17T00:00:00"/>
    <x v="1"/>
    <n v="0"/>
  </r>
  <r>
    <s v="DRG-469"/>
    <s v="Drawing 469"/>
    <x v="1"/>
    <x v="2"/>
    <d v="2025-05-13T00:00:00"/>
    <d v="2025-05-16T00:00:00"/>
    <x v="1"/>
    <n v="0"/>
  </r>
  <r>
    <s v="DRG-470"/>
    <s v="Drawing 470"/>
    <x v="1"/>
    <x v="1"/>
    <d v="2025-03-12T00:00:00"/>
    <d v="2025-03-15T00:00:00"/>
    <x v="3"/>
    <n v="0"/>
  </r>
  <r>
    <s v="DRG-471"/>
    <s v="Drawing 471"/>
    <x v="4"/>
    <x v="0"/>
    <d v="2025-04-10T00:00:00"/>
    <d v="2025-04-10T00:00:00"/>
    <x v="0"/>
    <n v="0"/>
  </r>
  <r>
    <s v="DRG-472"/>
    <s v="Drawing 472"/>
    <x v="4"/>
    <x v="1"/>
    <d v="2025-09-29T00:00:00"/>
    <d v="2025-10-06T00:00:00"/>
    <x v="1"/>
    <n v="0"/>
  </r>
  <r>
    <s v="DRG-473"/>
    <s v="Drawing 473"/>
    <x v="4"/>
    <x v="1"/>
    <d v="2025-02-07T00:00:00"/>
    <d v="2025-02-20T00:00:00"/>
    <x v="2"/>
    <n v="0"/>
  </r>
  <r>
    <s v="DRG-474"/>
    <s v="Drawing 474"/>
    <x v="4"/>
    <x v="1"/>
    <d v="2025-05-14T00:00:00"/>
    <d v="2025-05-16T00:00:00"/>
    <x v="2"/>
    <n v="0"/>
  </r>
  <r>
    <s v="DRG-475"/>
    <s v="Drawing 475"/>
    <x v="0"/>
    <x v="2"/>
    <d v="2025-08-10T00:00:00"/>
    <d v="2025-08-18T00:00:00"/>
    <x v="1"/>
    <n v="0"/>
  </r>
  <r>
    <s v="DRG-476"/>
    <s v="Drawing 476"/>
    <x v="0"/>
    <x v="0"/>
    <d v="2025-02-02T00:00:00"/>
    <d v="2025-02-13T00:00:00"/>
    <x v="2"/>
    <n v="0"/>
  </r>
  <r>
    <s v="DRG-477"/>
    <s v="Drawing 477"/>
    <x v="5"/>
    <x v="0"/>
    <d v="2025-03-13T00:00:00"/>
    <m/>
    <x v="1"/>
    <n v="0"/>
  </r>
  <r>
    <s v="DRG-478"/>
    <s v="Drawing 478"/>
    <x v="4"/>
    <x v="0"/>
    <d v="2025-04-28T00:00:00"/>
    <d v="2025-05-11T00:00:00"/>
    <x v="1"/>
    <n v="0"/>
  </r>
  <r>
    <s v="DRG-479"/>
    <s v="Drawing 479"/>
    <x v="1"/>
    <x v="2"/>
    <d v="2025-07-10T00:00:00"/>
    <d v="2025-07-17T00:00:00"/>
    <x v="0"/>
    <n v="0"/>
  </r>
  <r>
    <s v="DRG-480"/>
    <s v="Drawing 480"/>
    <x v="0"/>
    <x v="2"/>
    <d v="2025-05-22T00:00:00"/>
    <d v="2025-05-31T00:00:00"/>
    <x v="3"/>
    <n v="0"/>
  </r>
  <r>
    <s v="DRG-481"/>
    <s v="Drawing 481"/>
    <x v="0"/>
    <x v="1"/>
    <d v="2025-05-11T00:00:00"/>
    <m/>
    <x v="3"/>
    <n v="0"/>
  </r>
  <r>
    <s v="DRG-482"/>
    <s v="Drawing 482"/>
    <x v="5"/>
    <x v="1"/>
    <d v="2025-05-08T00:00:00"/>
    <d v="2025-05-16T00:00:00"/>
    <x v="0"/>
    <n v="226"/>
  </r>
  <r>
    <s v="DRG-483"/>
    <s v="Drawing 483"/>
    <x v="2"/>
    <x v="0"/>
    <d v="2025-07-05T00:00:00"/>
    <d v="2025-07-05T00:00:00"/>
    <x v="1"/>
    <n v="0"/>
  </r>
  <r>
    <s v="DRG-484"/>
    <s v="Drawing 484"/>
    <x v="5"/>
    <x v="1"/>
    <d v="2025-03-16T00:00:00"/>
    <d v="2025-03-28T00:00:00"/>
    <x v="1"/>
    <n v="0"/>
  </r>
  <r>
    <s v="DRG-485"/>
    <s v="Drawing 485"/>
    <x v="4"/>
    <x v="1"/>
    <d v="2025-10-27T00:00:00"/>
    <d v="2025-10-28T00:00:00"/>
    <x v="4"/>
    <n v="0"/>
  </r>
  <r>
    <s v="DRG-486"/>
    <s v="Drawing 486"/>
    <x v="2"/>
    <x v="3"/>
    <d v="2025-07-12T00:00:00"/>
    <d v="2025-07-26T00:00:00"/>
    <x v="0"/>
    <n v="0"/>
  </r>
  <r>
    <s v="DRG-487"/>
    <s v="Drawing 487"/>
    <x v="5"/>
    <x v="0"/>
    <d v="2025-08-26T00:00:00"/>
    <m/>
    <x v="1"/>
    <n v="0"/>
  </r>
  <r>
    <s v="DRG-488"/>
    <s v="Drawing 488"/>
    <x v="0"/>
    <x v="3"/>
    <d v="2025-05-20T00:00:00"/>
    <d v="2025-05-22T00:00:00"/>
    <x v="4"/>
    <n v="0"/>
  </r>
  <r>
    <s v="DRG-489"/>
    <s v="Drawing 489"/>
    <x v="2"/>
    <x v="1"/>
    <d v="2025-07-18T00:00:00"/>
    <d v="2025-07-31T00:00:00"/>
    <x v="4"/>
    <n v="0"/>
  </r>
  <r>
    <s v="DRG-490"/>
    <s v="Drawing 490"/>
    <x v="1"/>
    <x v="1"/>
    <d v="2025-04-10T00:00:00"/>
    <m/>
    <x v="1"/>
    <n v="0"/>
  </r>
  <r>
    <s v="DRG-491"/>
    <s v="Drawing 491"/>
    <x v="2"/>
    <x v="3"/>
    <d v="2025-10-18T00:00:00"/>
    <d v="2025-10-25T00:00:00"/>
    <x v="2"/>
    <n v="0"/>
  </r>
  <r>
    <s v="DRG-492"/>
    <s v="Drawing 492"/>
    <x v="4"/>
    <x v="3"/>
    <d v="2025-05-03T00:00:00"/>
    <d v="2025-05-17T00:00:00"/>
    <x v="1"/>
    <n v="0"/>
  </r>
  <r>
    <s v="DRG-493"/>
    <s v="Drawing 493"/>
    <x v="4"/>
    <x v="2"/>
    <d v="2025-08-25T00:00:00"/>
    <m/>
    <x v="4"/>
    <n v="0"/>
  </r>
  <r>
    <s v="DRG-494"/>
    <s v="Drawing 494"/>
    <x v="5"/>
    <x v="3"/>
    <d v="2025-03-04T00:00:00"/>
    <d v="2025-03-15T00:00:00"/>
    <x v="2"/>
    <n v="0"/>
  </r>
  <r>
    <s v="DRG-495"/>
    <s v="Drawing 495"/>
    <x v="2"/>
    <x v="2"/>
    <d v="2025-10-27T00:00:00"/>
    <d v="2025-11-11T00:00:00"/>
    <x v="1"/>
    <n v="0"/>
  </r>
  <r>
    <s v="DRG-496"/>
    <s v="Drawing 496"/>
    <x v="0"/>
    <x v="2"/>
    <d v="2025-07-01T00:00:00"/>
    <m/>
    <x v="2"/>
    <n v="0"/>
  </r>
  <r>
    <s v="DRG-497"/>
    <s v="Drawing 497"/>
    <x v="4"/>
    <x v="0"/>
    <d v="2025-01-13T00:00:00"/>
    <d v="2025-01-28T00:00:00"/>
    <x v="4"/>
    <n v="0"/>
  </r>
  <r>
    <s v="DRG-498"/>
    <s v="Drawing 498"/>
    <x v="1"/>
    <x v="1"/>
    <d v="2025-01-26T00:00:00"/>
    <m/>
    <x v="4"/>
    <n v="0"/>
  </r>
  <r>
    <s v="DRG-499"/>
    <s v="Drawing 499"/>
    <x v="1"/>
    <x v="2"/>
    <d v="2025-10-23T00:00:00"/>
    <d v="2025-11-02T00:00:00"/>
    <x v="4"/>
    <n v="0"/>
  </r>
  <r>
    <s v="DRG-500"/>
    <s v="Drawing 500"/>
    <x v="5"/>
    <x v="1"/>
    <d v="2025-10-14T00:00:00"/>
    <d v="2025-10-24T00:00:00"/>
    <x v="4"/>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4D9C78-FA0F-4AF1-A6A2-DA19564AB0E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B9" firstHeaderRow="1" firstDataRow="1" firstDataCol="1" rowPageCount="1" colPageCount="1"/>
  <pivotFields count="8">
    <pivotField dataField="1" showAll="0"/>
    <pivotField showAll="0"/>
    <pivotField axis="axisPage" showAll="0">
      <items count="7">
        <item x="3"/>
        <item x="5"/>
        <item x="4"/>
        <item x="1"/>
        <item x="2"/>
        <item x="0"/>
        <item t="default"/>
      </items>
    </pivotField>
    <pivotField showAll="0">
      <items count="5">
        <item x="0"/>
        <item x="3"/>
        <item x="1"/>
        <item x="2"/>
        <item t="default"/>
      </items>
    </pivotField>
    <pivotField numFmtId="164" showAll="0"/>
    <pivotField showAll="0"/>
    <pivotField axis="axisRow" showAll="0">
      <items count="6">
        <item x="2"/>
        <item x="3"/>
        <item x="4"/>
        <item x="0"/>
        <item x="1"/>
        <item t="default"/>
      </items>
    </pivotField>
    <pivotField showAll="0"/>
  </pivotFields>
  <rowFields count="1">
    <field x="6"/>
  </rowFields>
  <rowItems count="6">
    <i>
      <x/>
    </i>
    <i>
      <x v="1"/>
    </i>
    <i>
      <x v="2"/>
    </i>
    <i>
      <x v="3"/>
    </i>
    <i>
      <x v="4"/>
    </i>
    <i t="grand">
      <x/>
    </i>
  </rowItems>
  <colItems count="1">
    <i/>
  </colItems>
  <pageFields count="1">
    <pageField fld="2" hier="-1"/>
  </pageFields>
  <dataFields count="1">
    <dataField name="Count of Doc No" fld="0" subtotal="count"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334D98-C0EE-4DCA-A1AE-6F367A46515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L3:M8" firstHeaderRow="1" firstDataRow="1" firstDataCol="1"/>
  <pivotFields count="8">
    <pivotField dataField="1" showAll="0"/>
    <pivotField showAll="0"/>
    <pivotField showAll="0">
      <items count="7">
        <item x="3"/>
        <item x="5"/>
        <item x="4"/>
        <item x="1"/>
        <item x="2"/>
        <item x="0"/>
        <item t="default"/>
      </items>
    </pivotField>
    <pivotField axis="axisRow" showAll="0">
      <items count="5">
        <item x="0"/>
        <item x="3"/>
        <item x="1"/>
        <item x="2"/>
        <item t="default"/>
      </items>
    </pivotField>
    <pivotField numFmtId="164" showAll="0"/>
    <pivotField showAll="0"/>
    <pivotField showAll="0">
      <items count="6">
        <item x="2"/>
        <item x="3"/>
        <item x="4"/>
        <item x="0"/>
        <item x="1"/>
        <item t="default"/>
      </items>
    </pivotField>
    <pivotField showAll="0"/>
  </pivotFields>
  <rowFields count="1">
    <field x="3"/>
  </rowFields>
  <rowItems count="5">
    <i>
      <x/>
    </i>
    <i>
      <x v="1"/>
    </i>
    <i>
      <x v="2"/>
    </i>
    <i>
      <x v="3"/>
    </i>
    <i t="grand">
      <x/>
    </i>
  </rowItems>
  <colItems count="1">
    <i/>
  </colItems>
  <dataFields count="1">
    <dataField name="Count of Doc No" fld="0" subtotal="count" baseField="0" baseItem="0"/>
  </dataFields>
  <chartFormats count="6">
    <chartFormat chart="0" format="0"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3" count="1" selected="0">
            <x v="0"/>
          </reference>
        </references>
      </pivotArea>
    </chartFormat>
    <chartFormat chart="7" format="8">
      <pivotArea type="data" outline="0" fieldPosition="0">
        <references count="2">
          <reference field="4294967294" count="1" selected="0">
            <x v="0"/>
          </reference>
          <reference field="3" count="1" selected="0">
            <x v="1"/>
          </reference>
        </references>
      </pivotArea>
    </chartFormat>
    <chartFormat chart="7" format="9">
      <pivotArea type="data" outline="0" fieldPosition="0">
        <references count="2">
          <reference field="4294967294" count="1" selected="0">
            <x v="0"/>
          </reference>
          <reference field="3" count="1" selected="0">
            <x v="2"/>
          </reference>
        </references>
      </pivotArea>
    </chartFormat>
    <chartFormat chart="7"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22614F0-AEC2-4C1A-8D0A-07C17151220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3:J11" firstHeaderRow="1" firstDataRow="2" firstDataCol="1"/>
  <pivotFields count="8">
    <pivotField dataField="1" showAll="0"/>
    <pivotField showAll="0"/>
    <pivotField axis="axisRow" showAll="0">
      <items count="7">
        <item x="3"/>
        <item x="5"/>
        <item x="4"/>
        <item x="1"/>
        <item x="2"/>
        <item x="0"/>
        <item t="default"/>
      </items>
    </pivotField>
    <pivotField showAll="0">
      <items count="5">
        <item x="0"/>
        <item x="3"/>
        <item x="1"/>
        <item x="2"/>
        <item t="default"/>
      </items>
    </pivotField>
    <pivotField numFmtId="164" showAll="0"/>
    <pivotField showAll="0"/>
    <pivotField axis="axisCol" showAll="0">
      <items count="6">
        <item x="2"/>
        <item x="3"/>
        <item x="4"/>
        <item x="0"/>
        <item x="1"/>
        <item t="default"/>
      </items>
    </pivotField>
    <pivotField showAll="0"/>
  </pivotFields>
  <rowFields count="1">
    <field x="2"/>
  </rowFields>
  <rowItems count="7">
    <i>
      <x/>
    </i>
    <i>
      <x v="1"/>
    </i>
    <i>
      <x v="2"/>
    </i>
    <i>
      <x v="3"/>
    </i>
    <i>
      <x v="4"/>
    </i>
    <i>
      <x v="5"/>
    </i>
    <i t="grand">
      <x/>
    </i>
  </rowItems>
  <colFields count="1">
    <field x="6"/>
  </colFields>
  <colItems count="6">
    <i>
      <x/>
    </i>
    <i>
      <x v="1"/>
    </i>
    <i>
      <x v="2"/>
    </i>
    <i>
      <x v="3"/>
    </i>
    <i>
      <x v="4"/>
    </i>
    <i t="grand">
      <x/>
    </i>
  </colItems>
  <dataFields count="1">
    <dataField name="Count of Doc No" fld="0" subtotal="count" baseField="0" baseItem="0"/>
  </dataFields>
  <chartFormats count="10">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0" format="4" series="1">
      <pivotArea type="data" outline="0" fieldPosition="0">
        <references count="2">
          <reference field="4294967294" count="1" selected="0">
            <x v="0"/>
          </reference>
          <reference field="6" count="1" selected="0">
            <x v="4"/>
          </reference>
        </references>
      </pivotArea>
    </chartFormat>
    <chartFormat chart="8" format="10" series="1">
      <pivotArea type="data" outline="0" fieldPosition="0">
        <references count="2">
          <reference field="4294967294" count="1" selected="0">
            <x v="0"/>
          </reference>
          <reference field="6" count="1" selected="0">
            <x v="0"/>
          </reference>
        </references>
      </pivotArea>
    </chartFormat>
    <chartFormat chart="8" format="11" series="1">
      <pivotArea type="data" outline="0" fieldPosition="0">
        <references count="2">
          <reference field="4294967294" count="1" selected="0">
            <x v="0"/>
          </reference>
          <reference field="6" count="1" selected="0">
            <x v="1"/>
          </reference>
        </references>
      </pivotArea>
    </chartFormat>
    <chartFormat chart="8" format="12" series="1">
      <pivotArea type="data" outline="0" fieldPosition="0">
        <references count="2">
          <reference field="4294967294" count="1" selected="0">
            <x v="0"/>
          </reference>
          <reference field="6" count="1" selected="0">
            <x v="2"/>
          </reference>
        </references>
      </pivotArea>
    </chartFormat>
    <chartFormat chart="8" format="13" series="1">
      <pivotArea type="data" outline="0" fieldPosition="0">
        <references count="2">
          <reference field="4294967294" count="1" selected="0">
            <x v="0"/>
          </reference>
          <reference field="6" count="1" selected="0">
            <x v="3"/>
          </reference>
        </references>
      </pivotArea>
    </chartFormat>
    <chartFormat chart="8" format="14" series="1">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ipline1" xr10:uid="{B19656A7-17AE-450A-B632-D8598FD3694F}" sourceName="Discipline">
  <pivotTables>
    <pivotTable tabId="7" name="PivotTable5"/>
    <pivotTable tabId="7" name="PivotTable4"/>
    <pivotTable tabId="7" name="PivotTable6"/>
  </pivotTables>
  <data>
    <tabular pivotCacheId="455899654">
      <items count="6">
        <i x="3" s="1"/>
        <i x="5" s="1"/>
        <i x="4" s="1"/>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ision1" xr10:uid="{8FCAED1C-A691-4321-8BF4-2FAFCC2C3540}" sourceName="Revision">
  <pivotTables>
    <pivotTable tabId="7" name="PivotTable5"/>
    <pivotTable tabId="7" name="PivotTable4"/>
    <pivotTable tabId="7" name="PivotTable6"/>
  </pivotTables>
  <data>
    <tabular pivotCacheId="455899654">
      <items count="4">
        <i x="0" s="1"/>
        <i x="3"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1" xr10:uid="{21AC1EA1-6A33-4900-9093-D9222BD00355}" sourceName="Status">
  <pivotTables>
    <pivotTable tabId="7" name="PivotTable5"/>
    <pivotTable tabId="7" name="PivotTable4"/>
    <pivotTable tabId="7" name="PivotTable6"/>
  </pivotTables>
  <data>
    <tabular pivotCacheId="455899654">
      <items count="5">
        <i x="2" s="1"/>
        <i x="3" s="1"/>
        <i x="4"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ipline 1" xr10:uid="{7E546E49-EA25-4143-BB13-89108BA9044A}" cache="Slicer_Discipline1" caption="Discipline" rowHeight="234950"/>
  <slicer name="Revision 1" xr10:uid="{68BA3015-9FA5-4ABD-B5FB-4313ECC32226}" cache="Slicer_Revision1" caption="Revision" rowHeight="234950"/>
  <slicer name="Status 1" xr10:uid="{EC1DB08C-CD89-4ED4-ADA9-291C53131902}" cache="Slicer_Status1" caption="Statu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ipline 2" xr10:uid="{92BA9E0D-62F7-41F1-B6E2-03576222E942}" cache="Slicer_Discipline1" caption="Discipline" rowHeight="234950"/>
  <slicer name="Revision 2" xr10:uid="{22B23C41-20B4-4474-8E8A-CD528200E0D2}" cache="Slicer_Revision1" caption="Revision" rowHeight="234950"/>
  <slicer name="Status 2" xr10:uid="{F05B915F-07D9-4959-9847-0769DC81F95E}" cache="Slicer_Status1" caption="Statu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21FB58C-D87D-4C6B-B8BF-615E5BEDE2B8}" name="Tbl_Aconex" displayName="Tbl_Aconex" ref="A1:H501" totalsRowShown="0" headerRowDxfId="4" headerRowBorderDxfId="3" tableBorderDxfId="2">
  <autoFilter ref="A1:H501" xr:uid="{421FB58C-D87D-4C6B-B8BF-615E5BEDE2B8}"/>
  <tableColumns count="8">
    <tableColumn id="1" xr3:uid="{678A123A-B12A-4E3F-A61E-3980488678A7}" name="Doc No"/>
    <tableColumn id="2" xr3:uid="{83DEDBFE-19CB-4676-9C73-12FF40933FD2}" name="Title"/>
    <tableColumn id="3" xr3:uid="{6BF458FB-1737-49CE-9B3E-5BB7C820D9C0}" name="Discipline"/>
    <tableColumn id="4" xr3:uid="{CB084229-CE55-4001-BF37-3F666AE811D6}" name="Revision"/>
    <tableColumn id="5" xr3:uid="{816091B4-8A8B-4D56-8C22-8F98177DC5DB}" name="Issued Date" dataDxfId="1"/>
    <tableColumn id="6" xr3:uid="{5B1A9F9D-E9A1-4770-B3AF-C17D2C17EE57}" name="Approved Date" dataDxfId="0"/>
    <tableColumn id="7" xr3:uid="{37FF5D7B-9520-4001-99A4-3F560E5E4DB8}" name="Status"/>
    <tableColumn id="8" xr3:uid="{99A2394D-E8C0-483E-9138-68E90A74740B}" name="Days Overdu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3C8D8-7FE1-46B1-AAD9-1D047AA48C89}">
  <sheetPr codeName="Sheet1"/>
  <dimension ref="A1:M11"/>
  <sheetViews>
    <sheetView workbookViewId="0">
      <selection activeCell="L23" sqref="L23"/>
    </sheetView>
  </sheetViews>
  <sheetFormatPr defaultRowHeight="14.4" x14ac:dyDescent="0.3"/>
  <cols>
    <col min="1" max="1" width="20.109375" bestFit="1" customWidth="1"/>
    <col min="2" max="2" width="15" bestFit="1" customWidth="1"/>
    <col min="4" max="4" width="15" bestFit="1" customWidth="1"/>
    <col min="5" max="5" width="15.5546875" bestFit="1" customWidth="1"/>
    <col min="6" max="6" width="10.109375" bestFit="1" customWidth="1"/>
    <col min="7" max="7" width="20.6640625" bestFit="1" customWidth="1"/>
    <col min="8" max="8" width="7.88671875" bestFit="1" customWidth="1"/>
    <col min="9" max="9" width="8.33203125" bestFit="1" customWidth="1"/>
    <col min="10" max="10" width="10.77734375" bestFit="1" customWidth="1"/>
    <col min="12" max="12" width="12.5546875" bestFit="1" customWidth="1"/>
    <col min="13" max="13" width="15" bestFit="1" customWidth="1"/>
  </cols>
  <sheetData>
    <row r="1" spans="1:13" x14ac:dyDescent="0.3">
      <c r="A1" s="2" t="s">
        <v>2</v>
      </c>
      <c r="B1" t="s">
        <v>102</v>
      </c>
    </row>
    <row r="3" spans="1:13" x14ac:dyDescent="0.3">
      <c r="A3" s="2" t="s">
        <v>100</v>
      </c>
      <c r="B3" t="s">
        <v>104</v>
      </c>
      <c r="D3" s="2" t="s">
        <v>104</v>
      </c>
      <c r="E3" s="2" t="s">
        <v>103</v>
      </c>
      <c r="L3" s="2" t="s">
        <v>100</v>
      </c>
      <c r="M3" t="s">
        <v>104</v>
      </c>
    </row>
    <row r="4" spans="1:13" x14ac:dyDescent="0.3">
      <c r="A4" s="3" t="s">
        <v>31</v>
      </c>
      <c r="B4">
        <v>93</v>
      </c>
      <c r="D4" s="2" t="s">
        <v>100</v>
      </c>
      <c r="E4" t="s">
        <v>31</v>
      </c>
      <c r="F4" t="s">
        <v>107</v>
      </c>
      <c r="G4" t="s">
        <v>110</v>
      </c>
      <c r="H4" t="s">
        <v>12</v>
      </c>
      <c r="I4" t="s">
        <v>16</v>
      </c>
      <c r="J4" t="s">
        <v>101</v>
      </c>
      <c r="L4" s="3" t="s">
        <v>11</v>
      </c>
      <c r="M4">
        <v>148</v>
      </c>
    </row>
    <row r="5" spans="1:13" x14ac:dyDescent="0.3">
      <c r="A5" s="3" t="s">
        <v>107</v>
      </c>
      <c r="B5">
        <v>101</v>
      </c>
      <c r="D5" s="3" t="s">
        <v>25</v>
      </c>
      <c r="E5">
        <v>2</v>
      </c>
      <c r="I5">
        <v>2</v>
      </c>
      <c r="J5">
        <v>4</v>
      </c>
      <c r="L5" s="3" t="s">
        <v>65</v>
      </c>
      <c r="M5">
        <v>118</v>
      </c>
    </row>
    <row r="6" spans="1:13" x14ac:dyDescent="0.3">
      <c r="A6" s="3" t="s">
        <v>110</v>
      </c>
      <c r="B6">
        <v>85</v>
      </c>
      <c r="D6" s="3" t="s">
        <v>113</v>
      </c>
      <c r="E6">
        <v>16</v>
      </c>
      <c r="F6">
        <v>17</v>
      </c>
      <c r="G6">
        <v>17</v>
      </c>
      <c r="H6">
        <v>21</v>
      </c>
      <c r="I6">
        <v>20</v>
      </c>
      <c r="J6">
        <v>91</v>
      </c>
      <c r="L6" s="3" t="s">
        <v>15</v>
      </c>
      <c r="M6">
        <v>131</v>
      </c>
    </row>
    <row r="7" spans="1:13" x14ac:dyDescent="0.3">
      <c r="A7" s="3" t="s">
        <v>12</v>
      </c>
      <c r="B7">
        <v>107</v>
      </c>
      <c r="D7" s="3" t="s">
        <v>28</v>
      </c>
      <c r="E7">
        <v>23</v>
      </c>
      <c r="F7">
        <v>25</v>
      </c>
      <c r="G7">
        <v>17</v>
      </c>
      <c r="H7">
        <v>17</v>
      </c>
      <c r="I7">
        <v>24</v>
      </c>
      <c r="J7">
        <v>106</v>
      </c>
      <c r="L7" s="3" t="s">
        <v>40</v>
      </c>
      <c r="M7">
        <v>103</v>
      </c>
    </row>
    <row r="8" spans="1:13" x14ac:dyDescent="0.3">
      <c r="A8" s="3" t="s">
        <v>16</v>
      </c>
      <c r="B8">
        <v>114</v>
      </c>
      <c r="D8" s="3" t="s">
        <v>19</v>
      </c>
      <c r="E8">
        <v>16</v>
      </c>
      <c r="F8">
        <v>17</v>
      </c>
      <c r="G8">
        <v>16</v>
      </c>
      <c r="H8">
        <v>24</v>
      </c>
      <c r="I8">
        <v>28</v>
      </c>
      <c r="J8">
        <v>101</v>
      </c>
      <c r="L8" s="3" t="s">
        <v>101</v>
      </c>
      <c r="M8">
        <v>500</v>
      </c>
    </row>
    <row r="9" spans="1:13" x14ac:dyDescent="0.3">
      <c r="A9" s="3" t="s">
        <v>101</v>
      </c>
      <c r="B9">
        <v>500</v>
      </c>
      <c r="D9" s="3" t="s">
        <v>22</v>
      </c>
      <c r="E9">
        <v>21</v>
      </c>
      <c r="F9">
        <v>16</v>
      </c>
      <c r="G9">
        <v>14</v>
      </c>
      <c r="H9">
        <v>21</v>
      </c>
      <c r="I9">
        <v>20</v>
      </c>
      <c r="J9">
        <v>92</v>
      </c>
    </row>
    <row r="10" spans="1:13" x14ac:dyDescent="0.3">
      <c r="D10" s="3" t="s">
        <v>10</v>
      </c>
      <c r="E10">
        <v>15</v>
      </c>
      <c r="F10">
        <v>26</v>
      </c>
      <c r="G10">
        <v>21</v>
      </c>
      <c r="H10">
        <v>24</v>
      </c>
      <c r="I10">
        <v>20</v>
      </c>
      <c r="J10">
        <v>106</v>
      </c>
    </row>
    <row r="11" spans="1:13" x14ac:dyDescent="0.3">
      <c r="D11" s="3" t="s">
        <v>101</v>
      </c>
      <c r="E11">
        <v>93</v>
      </c>
      <c r="F11">
        <v>101</v>
      </c>
      <c r="G11">
        <v>85</v>
      </c>
      <c r="H11">
        <v>107</v>
      </c>
      <c r="I11">
        <v>114</v>
      </c>
      <c r="J11">
        <v>500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EE3EC-2477-4786-AA26-430E6503ABB2}">
  <sheetPr codeName="Sheet2"/>
  <dimension ref="A1"/>
  <sheetViews>
    <sheetView tabSelected="1" zoomScale="69" zoomScaleNormal="69" workbookViewId="0"/>
  </sheetViews>
  <sheetFormatPr defaultRowHeight="14.4" x14ac:dyDescent="0.3"/>
  <cols>
    <col min="1" max="16384" width="8.8867187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L501"/>
  <sheetViews>
    <sheetView workbookViewId="0">
      <selection activeCell="F7" sqref="F7"/>
    </sheetView>
  </sheetViews>
  <sheetFormatPr defaultRowHeight="14.4" x14ac:dyDescent="0.3"/>
  <cols>
    <col min="1" max="1" width="9" customWidth="1"/>
    <col min="2" max="2" width="10.109375" bestFit="1" customWidth="1"/>
    <col min="3" max="3" width="11.44140625" bestFit="1" customWidth="1"/>
    <col min="4" max="4" width="9.88671875" customWidth="1"/>
    <col min="5" max="5" width="12.5546875" customWidth="1"/>
    <col min="6" max="6" width="15.5546875" customWidth="1"/>
    <col min="7" max="7" width="20.109375" bestFit="1" customWidth="1"/>
    <col min="8" max="8" width="14.5546875" customWidth="1"/>
    <col min="11" max="11" width="25" bestFit="1" customWidth="1"/>
  </cols>
  <sheetData>
    <row r="1" spans="1:12" x14ac:dyDescent="0.3">
      <c r="A1" s="4" t="s">
        <v>0</v>
      </c>
      <c r="B1" s="4" t="s">
        <v>1</v>
      </c>
      <c r="C1" s="4" t="s">
        <v>2</v>
      </c>
      <c r="D1" s="4" t="s">
        <v>3</v>
      </c>
      <c r="E1" s="4" t="s">
        <v>4</v>
      </c>
      <c r="F1" s="4" t="s">
        <v>5</v>
      </c>
      <c r="G1" s="4" t="s">
        <v>6</v>
      </c>
      <c r="H1" s="4" t="s">
        <v>7</v>
      </c>
    </row>
    <row r="2" spans="1:12" x14ac:dyDescent="0.3">
      <c r="A2" t="s">
        <v>8</v>
      </c>
      <c r="B2" t="s">
        <v>9</v>
      </c>
      <c r="C2" t="s">
        <v>10</v>
      </c>
      <c r="D2" t="s">
        <v>11</v>
      </c>
      <c r="E2" s="1">
        <v>45760</v>
      </c>
      <c r="F2" s="1">
        <v>45769</v>
      </c>
      <c r="G2" t="s">
        <v>12</v>
      </c>
      <c r="H2">
        <v>211</v>
      </c>
      <c r="K2" t="s">
        <v>1028</v>
      </c>
      <c r="L2">
        <f>COUNTA(Document_Data!A2:A501)</f>
        <v>500</v>
      </c>
    </row>
    <row r="3" spans="1:12" x14ac:dyDescent="0.3">
      <c r="A3" t="s">
        <v>13</v>
      </c>
      <c r="B3" t="s">
        <v>14</v>
      </c>
      <c r="C3" t="s">
        <v>10</v>
      </c>
      <c r="D3" t="s">
        <v>15</v>
      </c>
      <c r="E3" s="1">
        <v>45792</v>
      </c>
      <c r="F3" s="1">
        <v>45797</v>
      </c>
      <c r="G3" t="s">
        <v>16</v>
      </c>
      <c r="H3">
        <v>0</v>
      </c>
      <c r="K3" t="s">
        <v>1029</v>
      </c>
      <c r="L3">
        <f>COUNTIF(G:G,"Pending")</f>
        <v>107</v>
      </c>
    </row>
    <row r="4" spans="1:12" x14ac:dyDescent="0.3">
      <c r="A4" t="s">
        <v>17</v>
      </c>
      <c r="B4" t="s">
        <v>18</v>
      </c>
      <c r="C4" t="s">
        <v>19</v>
      </c>
      <c r="D4" t="s">
        <v>11</v>
      </c>
      <c r="E4" s="1">
        <v>45768</v>
      </c>
      <c r="F4" s="1">
        <v>45773</v>
      </c>
      <c r="G4" t="s">
        <v>16</v>
      </c>
      <c r="H4">
        <v>0</v>
      </c>
      <c r="K4" t="s">
        <v>1030</v>
      </c>
      <c r="L4">
        <f>COUNTIF(H:H,"&gt;0")</f>
        <v>64</v>
      </c>
    </row>
    <row r="5" spans="1:12" x14ac:dyDescent="0.3">
      <c r="A5" t="s">
        <v>20</v>
      </c>
      <c r="B5" t="s">
        <v>21</v>
      </c>
      <c r="C5" t="s">
        <v>22</v>
      </c>
      <c r="D5" t="s">
        <v>11</v>
      </c>
      <c r="E5" s="1">
        <v>45824</v>
      </c>
      <c r="G5" t="s">
        <v>16</v>
      </c>
      <c r="H5">
        <v>0</v>
      </c>
    </row>
    <row r="6" spans="1:12" x14ac:dyDescent="0.3">
      <c r="A6" t="s">
        <v>23</v>
      </c>
      <c r="B6" t="s">
        <v>24</v>
      </c>
      <c r="C6" t="s">
        <v>25</v>
      </c>
      <c r="D6" t="s">
        <v>11</v>
      </c>
      <c r="E6" s="1">
        <v>45913</v>
      </c>
      <c r="G6" t="s">
        <v>16</v>
      </c>
      <c r="H6">
        <v>0</v>
      </c>
    </row>
    <row r="7" spans="1:12" x14ac:dyDescent="0.3">
      <c r="A7" t="s">
        <v>26</v>
      </c>
      <c r="B7" t="s">
        <v>27</v>
      </c>
      <c r="C7" t="s">
        <v>28</v>
      </c>
      <c r="D7" t="s">
        <v>11</v>
      </c>
      <c r="E7" s="1">
        <v>45702</v>
      </c>
      <c r="F7" s="1">
        <v>45708</v>
      </c>
      <c r="G7" t="s">
        <v>16</v>
      </c>
      <c r="H7">
        <v>0</v>
      </c>
    </row>
    <row r="8" spans="1:12" x14ac:dyDescent="0.3">
      <c r="A8" t="s">
        <v>29</v>
      </c>
      <c r="B8" t="s">
        <v>30</v>
      </c>
      <c r="C8" t="s">
        <v>28</v>
      </c>
      <c r="D8" t="s">
        <v>11</v>
      </c>
      <c r="E8" s="1">
        <v>45943</v>
      </c>
      <c r="F8" s="1">
        <v>45952</v>
      </c>
      <c r="G8" t="s">
        <v>31</v>
      </c>
      <c r="H8">
        <v>0</v>
      </c>
    </row>
    <row r="9" spans="1:12" x14ac:dyDescent="0.3">
      <c r="A9" t="s">
        <v>32</v>
      </c>
      <c r="B9" t="s">
        <v>33</v>
      </c>
      <c r="C9" t="s">
        <v>22</v>
      </c>
      <c r="D9" t="s">
        <v>11</v>
      </c>
      <c r="E9" s="1">
        <v>45671</v>
      </c>
      <c r="G9" t="s">
        <v>16</v>
      </c>
      <c r="H9">
        <v>0</v>
      </c>
    </row>
    <row r="10" spans="1:12" x14ac:dyDescent="0.3">
      <c r="A10" t="s">
        <v>34</v>
      </c>
      <c r="B10" t="s">
        <v>35</v>
      </c>
      <c r="C10" t="s">
        <v>22</v>
      </c>
      <c r="D10" t="s">
        <v>11</v>
      </c>
      <c r="E10" s="1">
        <v>45753</v>
      </c>
      <c r="F10" s="1">
        <v>45761</v>
      </c>
      <c r="G10" t="s">
        <v>31</v>
      </c>
      <c r="H10">
        <v>0</v>
      </c>
    </row>
    <row r="11" spans="1:12" x14ac:dyDescent="0.3">
      <c r="A11" t="s">
        <v>36</v>
      </c>
      <c r="B11" t="s">
        <v>37</v>
      </c>
      <c r="C11" t="s">
        <v>22</v>
      </c>
      <c r="D11" t="s">
        <v>11</v>
      </c>
      <c r="E11" s="1">
        <v>45947</v>
      </c>
      <c r="F11" s="1">
        <v>45955</v>
      </c>
      <c r="G11" t="s">
        <v>12</v>
      </c>
      <c r="H11">
        <v>24</v>
      </c>
    </row>
    <row r="12" spans="1:12" x14ac:dyDescent="0.3">
      <c r="A12" t="s">
        <v>38</v>
      </c>
      <c r="B12" t="s">
        <v>39</v>
      </c>
      <c r="C12" t="s">
        <v>25</v>
      </c>
      <c r="D12" t="s">
        <v>40</v>
      </c>
      <c r="E12" s="1">
        <v>45730</v>
      </c>
      <c r="F12" s="1">
        <v>45735</v>
      </c>
      <c r="G12" t="s">
        <v>31</v>
      </c>
      <c r="H12">
        <v>0</v>
      </c>
    </row>
    <row r="13" spans="1:12" x14ac:dyDescent="0.3">
      <c r="A13" t="s">
        <v>41</v>
      </c>
      <c r="B13" t="s">
        <v>42</v>
      </c>
      <c r="C13" t="s">
        <v>19</v>
      </c>
      <c r="D13" t="s">
        <v>15</v>
      </c>
      <c r="E13" s="1">
        <v>45842</v>
      </c>
      <c r="F13" s="1">
        <v>45846</v>
      </c>
      <c r="G13" t="s">
        <v>12</v>
      </c>
      <c r="H13">
        <v>129</v>
      </c>
    </row>
    <row r="14" spans="1:12" x14ac:dyDescent="0.3">
      <c r="A14" t="s">
        <v>43</v>
      </c>
      <c r="B14" t="s">
        <v>44</v>
      </c>
      <c r="C14" t="s">
        <v>22</v>
      </c>
      <c r="D14" t="s">
        <v>15</v>
      </c>
      <c r="E14" s="1">
        <v>45884</v>
      </c>
      <c r="F14" s="1">
        <v>45899</v>
      </c>
      <c r="G14" t="s">
        <v>16</v>
      </c>
      <c r="H14">
        <v>0</v>
      </c>
    </row>
    <row r="15" spans="1:12" x14ac:dyDescent="0.3">
      <c r="A15" t="s">
        <v>45</v>
      </c>
      <c r="B15" t="s">
        <v>46</v>
      </c>
      <c r="C15" t="s">
        <v>28</v>
      </c>
      <c r="D15" t="s">
        <v>15</v>
      </c>
      <c r="E15" s="1">
        <v>45794</v>
      </c>
      <c r="F15" s="1">
        <v>45805</v>
      </c>
      <c r="G15" t="s">
        <v>12</v>
      </c>
      <c r="H15">
        <v>177</v>
      </c>
    </row>
    <row r="16" spans="1:12" x14ac:dyDescent="0.3">
      <c r="A16" t="s">
        <v>47</v>
      </c>
      <c r="B16" t="s">
        <v>48</v>
      </c>
      <c r="C16" t="s">
        <v>19</v>
      </c>
      <c r="D16" t="s">
        <v>15</v>
      </c>
      <c r="E16" s="1">
        <v>45902</v>
      </c>
      <c r="F16" s="1">
        <v>45917</v>
      </c>
      <c r="G16" t="s">
        <v>12</v>
      </c>
      <c r="H16">
        <v>69</v>
      </c>
    </row>
    <row r="17" spans="1:8" x14ac:dyDescent="0.3">
      <c r="A17" t="s">
        <v>49</v>
      </c>
      <c r="B17" t="s">
        <v>50</v>
      </c>
      <c r="C17" t="s">
        <v>10</v>
      </c>
      <c r="D17" t="s">
        <v>11</v>
      </c>
      <c r="E17" s="1">
        <v>45799</v>
      </c>
      <c r="F17" s="1">
        <v>45806</v>
      </c>
      <c r="G17" t="s">
        <v>31</v>
      </c>
      <c r="H17">
        <v>0</v>
      </c>
    </row>
    <row r="18" spans="1:8" x14ac:dyDescent="0.3">
      <c r="A18" t="s">
        <v>51</v>
      </c>
      <c r="B18" t="s">
        <v>52</v>
      </c>
      <c r="C18" t="s">
        <v>25</v>
      </c>
      <c r="D18" t="s">
        <v>40</v>
      </c>
      <c r="E18" s="1">
        <v>45764</v>
      </c>
      <c r="F18" s="1">
        <v>45770</v>
      </c>
      <c r="G18" t="s">
        <v>31</v>
      </c>
      <c r="H18">
        <v>0</v>
      </c>
    </row>
    <row r="19" spans="1:8" x14ac:dyDescent="0.3">
      <c r="A19" t="s">
        <v>53</v>
      </c>
      <c r="B19" t="s">
        <v>54</v>
      </c>
      <c r="C19" t="s">
        <v>19</v>
      </c>
      <c r="D19" t="s">
        <v>11</v>
      </c>
      <c r="E19" s="1">
        <v>45790</v>
      </c>
      <c r="F19" s="1">
        <v>45799</v>
      </c>
      <c r="G19" t="s">
        <v>31</v>
      </c>
      <c r="H19">
        <v>0</v>
      </c>
    </row>
    <row r="20" spans="1:8" x14ac:dyDescent="0.3">
      <c r="A20" t="s">
        <v>55</v>
      </c>
      <c r="B20" t="s">
        <v>56</v>
      </c>
      <c r="C20" t="s">
        <v>22</v>
      </c>
      <c r="D20" t="s">
        <v>40</v>
      </c>
      <c r="E20" s="1">
        <v>45829</v>
      </c>
      <c r="F20" s="1">
        <v>45836</v>
      </c>
      <c r="G20" t="s">
        <v>31</v>
      </c>
      <c r="H20">
        <v>0</v>
      </c>
    </row>
    <row r="21" spans="1:8" x14ac:dyDescent="0.3">
      <c r="A21" t="s">
        <v>57</v>
      </c>
      <c r="B21" t="s">
        <v>58</v>
      </c>
      <c r="C21" t="s">
        <v>19</v>
      </c>
      <c r="D21" t="s">
        <v>15</v>
      </c>
      <c r="E21" s="1">
        <v>45743</v>
      </c>
      <c r="F21" s="1">
        <v>45756</v>
      </c>
      <c r="G21" t="s">
        <v>31</v>
      </c>
      <c r="H21">
        <v>0</v>
      </c>
    </row>
    <row r="22" spans="1:8" x14ac:dyDescent="0.3">
      <c r="A22" t="s">
        <v>59</v>
      </c>
      <c r="B22" t="s">
        <v>60</v>
      </c>
      <c r="C22" t="s">
        <v>25</v>
      </c>
      <c r="D22" t="s">
        <v>11</v>
      </c>
      <c r="E22" s="1">
        <v>45845</v>
      </c>
      <c r="G22" t="s">
        <v>16</v>
      </c>
      <c r="H22">
        <v>0</v>
      </c>
    </row>
    <row r="23" spans="1:8" x14ac:dyDescent="0.3">
      <c r="A23" t="s">
        <v>61</v>
      </c>
      <c r="B23" t="s">
        <v>62</v>
      </c>
      <c r="C23" t="s">
        <v>19</v>
      </c>
      <c r="D23" t="s">
        <v>15</v>
      </c>
      <c r="E23" s="1">
        <v>45775</v>
      </c>
      <c r="G23" t="s">
        <v>16</v>
      </c>
      <c r="H23">
        <v>0</v>
      </c>
    </row>
    <row r="24" spans="1:8" x14ac:dyDescent="0.3">
      <c r="A24" t="s">
        <v>63</v>
      </c>
      <c r="B24" t="s">
        <v>64</v>
      </c>
      <c r="C24" t="s">
        <v>28</v>
      </c>
      <c r="D24" t="s">
        <v>65</v>
      </c>
      <c r="E24" s="1">
        <v>45764</v>
      </c>
      <c r="F24" s="1">
        <v>45771</v>
      </c>
      <c r="G24" t="s">
        <v>12</v>
      </c>
      <c r="H24">
        <v>207</v>
      </c>
    </row>
    <row r="25" spans="1:8" x14ac:dyDescent="0.3">
      <c r="A25" t="s">
        <v>66</v>
      </c>
      <c r="B25" t="s">
        <v>67</v>
      </c>
      <c r="C25" t="s">
        <v>28</v>
      </c>
      <c r="D25" t="s">
        <v>11</v>
      </c>
      <c r="E25" s="1">
        <v>45812</v>
      </c>
      <c r="F25" s="1">
        <v>45823</v>
      </c>
      <c r="G25" t="s">
        <v>12</v>
      </c>
      <c r="H25">
        <v>159</v>
      </c>
    </row>
    <row r="26" spans="1:8" x14ac:dyDescent="0.3">
      <c r="A26" t="s">
        <v>68</v>
      </c>
      <c r="B26" t="s">
        <v>69</v>
      </c>
      <c r="C26" t="s">
        <v>10</v>
      </c>
      <c r="D26" t="s">
        <v>11</v>
      </c>
      <c r="E26" s="1">
        <v>45803</v>
      </c>
      <c r="G26" t="s">
        <v>12</v>
      </c>
      <c r="H26">
        <v>168</v>
      </c>
    </row>
    <row r="27" spans="1:8" x14ac:dyDescent="0.3">
      <c r="A27" t="s">
        <v>70</v>
      </c>
      <c r="B27" t="s">
        <v>71</v>
      </c>
      <c r="C27" t="s">
        <v>10</v>
      </c>
      <c r="D27" t="s">
        <v>15</v>
      </c>
      <c r="E27" s="1">
        <v>45930</v>
      </c>
      <c r="G27" t="s">
        <v>12</v>
      </c>
      <c r="H27">
        <v>41</v>
      </c>
    </row>
    <row r="28" spans="1:8" x14ac:dyDescent="0.3">
      <c r="A28" t="s">
        <v>72</v>
      </c>
      <c r="B28" t="s">
        <v>73</v>
      </c>
      <c r="C28" t="s">
        <v>10</v>
      </c>
      <c r="D28" t="s">
        <v>65</v>
      </c>
      <c r="E28" s="1">
        <v>45950</v>
      </c>
      <c r="F28" s="1">
        <v>45963</v>
      </c>
      <c r="G28" t="s">
        <v>12</v>
      </c>
      <c r="H28">
        <v>21</v>
      </c>
    </row>
    <row r="29" spans="1:8" x14ac:dyDescent="0.3">
      <c r="A29" t="s">
        <v>74</v>
      </c>
      <c r="B29" t="s">
        <v>75</v>
      </c>
      <c r="C29" t="s">
        <v>10</v>
      </c>
      <c r="D29" t="s">
        <v>65</v>
      </c>
      <c r="E29" s="1">
        <v>45785</v>
      </c>
      <c r="F29" s="1">
        <v>45794</v>
      </c>
      <c r="G29" t="s">
        <v>16</v>
      </c>
      <c r="H29">
        <v>0</v>
      </c>
    </row>
    <row r="30" spans="1:8" x14ac:dyDescent="0.3">
      <c r="A30" t="s">
        <v>76</v>
      </c>
      <c r="B30" t="s">
        <v>77</v>
      </c>
      <c r="C30" t="s">
        <v>10</v>
      </c>
      <c r="D30" t="s">
        <v>11</v>
      </c>
      <c r="E30" s="1">
        <v>45814</v>
      </c>
      <c r="F30" s="1">
        <v>45821</v>
      </c>
      <c r="G30" t="s">
        <v>16</v>
      </c>
      <c r="H30">
        <v>0</v>
      </c>
    </row>
    <row r="31" spans="1:8" x14ac:dyDescent="0.3">
      <c r="A31" t="s">
        <v>78</v>
      </c>
      <c r="B31" t="s">
        <v>79</v>
      </c>
      <c r="C31" t="s">
        <v>10</v>
      </c>
      <c r="D31" t="s">
        <v>40</v>
      </c>
      <c r="E31" s="1">
        <v>45908</v>
      </c>
      <c r="F31" s="1">
        <v>45913</v>
      </c>
      <c r="G31" t="s">
        <v>16</v>
      </c>
      <c r="H31">
        <v>0</v>
      </c>
    </row>
    <row r="32" spans="1:8" x14ac:dyDescent="0.3">
      <c r="A32" t="s">
        <v>80</v>
      </c>
      <c r="B32" t="s">
        <v>81</v>
      </c>
      <c r="C32" t="s">
        <v>22</v>
      </c>
      <c r="D32" t="s">
        <v>65</v>
      </c>
      <c r="E32" s="1">
        <v>45681</v>
      </c>
      <c r="G32" t="s">
        <v>16</v>
      </c>
      <c r="H32">
        <v>0</v>
      </c>
    </row>
    <row r="33" spans="1:8" x14ac:dyDescent="0.3">
      <c r="A33" t="s">
        <v>82</v>
      </c>
      <c r="B33" t="s">
        <v>83</v>
      </c>
      <c r="C33" t="s">
        <v>19</v>
      </c>
      <c r="D33" t="s">
        <v>11</v>
      </c>
      <c r="E33" s="1">
        <v>45919</v>
      </c>
      <c r="F33" s="1">
        <v>45921</v>
      </c>
      <c r="G33" t="s">
        <v>16</v>
      </c>
      <c r="H33">
        <v>0</v>
      </c>
    </row>
    <row r="34" spans="1:8" x14ac:dyDescent="0.3">
      <c r="A34" t="s">
        <v>84</v>
      </c>
      <c r="B34" t="s">
        <v>85</v>
      </c>
      <c r="C34" t="s">
        <v>19</v>
      </c>
      <c r="D34" t="s">
        <v>40</v>
      </c>
      <c r="E34" s="1">
        <v>45732</v>
      </c>
      <c r="F34" s="1">
        <v>45739</v>
      </c>
      <c r="G34" t="s">
        <v>12</v>
      </c>
      <c r="H34">
        <v>239</v>
      </c>
    </row>
    <row r="35" spans="1:8" x14ac:dyDescent="0.3">
      <c r="A35" t="s">
        <v>86</v>
      </c>
      <c r="B35" t="s">
        <v>87</v>
      </c>
      <c r="C35" t="s">
        <v>10</v>
      </c>
      <c r="D35" t="s">
        <v>15</v>
      </c>
      <c r="E35" s="1">
        <v>45873</v>
      </c>
      <c r="F35" s="1">
        <v>45879</v>
      </c>
      <c r="G35" t="s">
        <v>16</v>
      </c>
      <c r="H35">
        <v>0</v>
      </c>
    </row>
    <row r="36" spans="1:8" x14ac:dyDescent="0.3">
      <c r="A36" t="s">
        <v>88</v>
      </c>
      <c r="B36" t="s">
        <v>89</v>
      </c>
      <c r="C36" t="s">
        <v>19</v>
      </c>
      <c r="D36" t="s">
        <v>40</v>
      </c>
      <c r="E36" s="1">
        <v>45811</v>
      </c>
      <c r="F36" s="1">
        <v>45813</v>
      </c>
      <c r="G36" t="s">
        <v>31</v>
      </c>
      <c r="H36">
        <v>0</v>
      </c>
    </row>
    <row r="37" spans="1:8" x14ac:dyDescent="0.3">
      <c r="A37" t="s">
        <v>90</v>
      </c>
      <c r="B37" t="s">
        <v>91</v>
      </c>
      <c r="C37" t="s">
        <v>28</v>
      </c>
      <c r="D37" t="s">
        <v>65</v>
      </c>
      <c r="E37" s="1">
        <v>45903</v>
      </c>
      <c r="F37" s="1">
        <v>45904</v>
      </c>
      <c r="G37" t="s">
        <v>16</v>
      </c>
      <c r="H37">
        <v>0</v>
      </c>
    </row>
    <row r="38" spans="1:8" x14ac:dyDescent="0.3">
      <c r="A38" t="s">
        <v>92</v>
      </c>
      <c r="B38" t="s">
        <v>93</v>
      </c>
      <c r="C38" t="s">
        <v>28</v>
      </c>
      <c r="D38" t="s">
        <v>40</v>
      </c>
      <c r="E38" s="1">
        <v>45871</v>
      </c>
      <c r="F38" s="1">
        <v>45879</v>
      </c>
      <c r="G38" t="s">
        <v>12</v>
      </c>
      <c r="H38">
        <v>100</v>
      </c>
    </row>
    <row r="39" spans="1:8" x14ac:dyDescent="0.3">
      <c r="A39" t="s">
        <v>94</v>
      </c>
      <c r="B39" t="s">
        <v>95</v>
      </c>
      <c r="C39" t="s">
        <v>10</v>
      </c>
      <c r="D39" t="s">
        <v>11</v>
      </c>
      <c r="E39" s="1">
        <v>45730</v>
      </c>
      <c r="F39" s="1">
        <v>45743</v>
      </c>
      <c r="G39" t="s">
        <v>12</v>
      </c>
      <c r="H39">
        <v>241</v>
      </c>
    </row>
    <row r="40" spans="1:8" x14ac:dyDescent="0.3">
      <c r="A40" t="s">
        <v>96</v>
      </c>
      <c r="B40" t="s">
        <v>97</v>
      </c>
      <c r="C40" t="s">
        <v>22</v>
      </c>
      <c r="D40" t="s">
        <v>11</v>
      </c>
      <c r="E40" s="1">
        <v>45731</v>
      </c>
      <c r="G40" t="s">
        <v>12</v>
      </c>
      <c r="H40">
        <v>240</v>
      </c>
    </row>
    <row r="41" spans="1:8" x14ac:dyDescent="0.3">
      <c r="A41" t="s">
        <v>98</v>
      </c>
      <c r="B41" t="s">
        <v>99</v>
      </c>
      <c r="C41" t="s">
        <v>19</v>
      </c>
      <c r="D41" t="s">
        <v>65</v>
      </c>
      <c r="E41" s="1">
        <v>45861</v>
      </c>
      <c r="F41" s="1">
        <v>45872</v>
      </c>
      <c r="G41" t="s">
        <v>16</v>
      </c>
      <c r="H41">
        <v>0</v>
      </c>
    </row>
    <row r="42" spans="1:8" x14ac:dyDescent="0.3">
      <c r="A42" t="s">
        <v>105</v>
      </c>
      <c r="B42" t="s">
        <v>106</v>
      </c>
      <c r="C42" t="s">
        <v>19</v>
      </c>
      <c r="D42" t="s">
        <v>11</v>
      </c>
      <c r="E42" s="1">
        <v>45827</v>
      </c>
      <c r="G42" t="s">
        <v>107</v>
      </c>
      <c r="H42">
        <v>0</v>
      </c>
    </row>
    <row r="43" spans="1:8" x14ac:dyDescent="0.3">
      <c r="A43" t="s">
        <v>108</v>
      </c>
      <c r="B43" t="s">
        <v>109</v>
      </c>
      <c r="C43" t="s">
        <v>22</v>
      </c>
      <c r="D43" t="s">
        <v>15</v>
      </c>
      <c r="E43" s="1">
        <v>45716</v>
      </c>
      <c r="F43" s="1">
        <v>45721</v>
      </c>
      <c r="G43" t="s">
        <v>110</v>
      </c>
      <c r="H43">
        <v>0</v>
      </c>
    </row>
    <row r="44" spans="1:8" x14ac:dyDescent="0.3">
      <c r="A44" t="s">
        <v>111</v>
      </c>
      <c r="B44" t="s">
        <v>112</v>
      </c>
      <c r="C44" t="s">
        <v>113</v>
      </c>
      <c r="D44" t="s">
        <v>11</v>
      </c>
      <c r="E44" s="1">
        <v>45889</v>
      </c>
      <c r="F44" s="1">
        <v>45897</v>
      </c>
      <c r="G44" t="s">
        <v>16</v>
      </c>
      <c r="H44">
        <v>0</v>
      </c>
    </row>
    <row r="45" spans="1:8" x14ac:dyDescent="0.3">
      <c r="A45" t="s">
        <v>114</v>
      </c>
      <c r="B45" t="s">
        <v>115</v>
      </c>
      <c r="C45" t="s">
        <v>22</v>
      </c>
      <c r="D45" t="s">
        <v>15</v>
      </c>
      <c r="E45" s="1">
        <v>45863</v>
      </c>
      <c r="F45" s="1">
        <v>45872</v>
      </c>
      <c r="G45" t="s">
        <v>31</v>
      </c>
      <c r="H45">
        <v>0</v>
      </c>
    </row>
    <row r="46" spans="1:8" x14ac:dyDescent="0.3">
      <c r="A46" t="s">
        <v>116</v>
      </c>
      <c r="B46" t="s">
        <v>117</v>
      </c>
      <c r="C46" t="s">
        <v>22</v>
      </c>
      <c r="D46" t="s">
        <v>65</v>
      </c>
      <c r="E46" s="1">
        <v>45728</v>
      </c>
      <c r="G46" t="s">
        <v>16</v>
      </c>
      <c r="H46">
        <v>0</v>
      </c>
    </row>
    <row r="47" spans="1:8" x14ac:dyDescent="0.3">
      <c r="A47" t="s">
        <v>118</v>
      </c>
      <c r="B47" t="s">
        <v>119</v>
      </c>
      <c r="C47" t="s">
        <v>113</v>
      </c>
      <c r="D47" t="s">
        <v>15</v>
      </c>
      <c r="E47" s="1">
        <v>45887</v>
      </c>
      <c r="G47" t="s">
        <v>16</v>
      </c>
      <c r="H47">
        <v>0</v>
      </c>
    </row>
    <row r="48" spans="1:8" x14ac:dyDescent="0.3">
      <c r="A48" t="s">
        <v>120</v>
      </c>
      <c r="B48" t="s">
        <v>121</v>
      </c>
      <c r="C48" t="s">
        <v>19</v>
      </c>
      <c r="D48" t="s">
        <v>65</v>
      </c>
      <c r="E48" s="1">
        <v>45772</v>
      </c>
      <c r="F48" s="1">
        <v>45781</v>
      </c>
      <c r="G48" t="s">
        <v>16</v>
      </c>
      <c r="H48">
        <v>0</v>
      </c>
    </row>
    <row r="49" spans="1:8" x14ac:dyDescent="0.3">
      <c r="A49" t="s">
        <v>122</v>
      </c>
      <c r="B49" t="s">
        <v>123</v>
      </c>
      <c r="C49" t="s">
        <v>22</v>
      </c>
      <c r="D49" t="s">
        <v>15</v>
      </c>
      <c r="E49" s="1">
        <v>45829</v>
      </c>
      <c r="F49" s="1">
        <v>45833</v>
      </c>
      <c r="G49" t="s">
        <v>12</v>
      </c>
      <c r="H49">
        <v>141</v>
      </c>
    </row>
    <row r="50" spans="1:8" x14ac:dyDescent="0.3">
      <c r="A50" t="s">
        <v>124</v>
      </c>
      <c r="B50" t="s">
        <v>125</v>
      </c>
      <c r="C50" t="s">
        <v>113</v>
      </c>
      <c r="D50" t="s">
        <v>40</v>
      </c>
      <c r="E50" s="1">
        <v>45660</v>
      </c>
      <c r="F50" s="1">
        <v>45670</v>
      </c>
      <c r="G50" t="s">
        <v>12</v>
      </c>
      <c r="H50">
        <v>0</v>
      </c>
    </row>
    <row r="51" spans="1:8" x14ac:dyDescent="0.3">
      <c r="A51" t="s">
        <v>126</v>
      </c>
      <c r="B51" t="s">
        <v>127</v>
      </c>
      <c r="C51" t="s">
        <v>19</v>
      </c>
      <c r="D51" t="s">
        <v>11</v>
      </c>
      <c r="E51" s="1">
        <v>45803</v>
      </c>
      <c r="G51" t="s">
        <v>16</v>
      </c>
      <c r="H51">
        <v>0</v>
      </c>
    </row>
    <row r="52" spans="1:8" x14ac:dyDescent="0.3">
      <c r="A52" t="s">
        <v>128</v>
      </c>
      <c r="B52" t="s">
        <v>129</v>
      </c>
      <c r="C52" t="s">
        <v>28</v>
      </c>
      <c r="D52" t="s">
        <v>65</v>
      </c>
      <c r="E52" s="1">
        <v>45762</v>
      </c>
      <c r="G52" t="s">
        <v>31</v>
      </c>
      <c r="H52">
        <v>0</v>
      </c>
    </row>
    <row r="53" spans="1:8" x14ac:dyDescent="0.3">
      <c r="A53" t="s">
        <v>130</v>
      </c>
      <c r="B53" t="s">
        <v>131</v>
      </c>
      <c r="C53" t="s">
        <v>10</v>
      </c>
      <c r="D53" t="s">
        <v>11</v>
      </c>
      <c r="E53" s="1">
        <v>45743</v>
      </c>
      <c r="G53" t="s">
        <v>16</v>
      </c>
      <c r="H53">
        <v>0</v>
      </c>
    </row>
    <row r="54" spans="1:8" x14ac:dyDescent="0.3">
      <c r="A54" t="s">
        <v>132</v>
      </c>
      <c r="B54" t="s">
        <v>133</v>
      </c>
      <c r="C54" t="s">
        <v>19</v>
      </c>
      <c r="D54" t="s">
        <v>15</v>
      </c>
      <c r="E54" s="1">
        <v>45661</v>
      </c>
      <c r="F54" s="1">
        <v>45673</v>
      </c>
      <c r="G54" t="s">
        <v>110</v>
      </c>
      <c r="H54">
        <v>0</v>
      </c>
    </row>
    <row r="55" spans="1:8" x14ac:dyDescent="0.3">
      <c r="A55" t="s">
        <v>134</v>
      </c>
      <c r="B55" t="s">
        <v>135</v>
      </c>
      <c r="C55" t="s">
        <v>113</v>
      </c>
      <c r="D55" t="s">
        <v>40</v>
      </c>
      <c r="E55" s="1">
        <v>45889</v>
      </c>
      <c r="F55" s="1">
        <v>45891</v>
      </c>
      <c r="G55" t="s">
        <v>107</v>
      </c>
      <c r="H55">
        <v>0</v>
      </c>
    </row>
    <row r="56" spans="1:8" x14ac:dyDescent="0.3">
      <c r="A56" t="s">
        <v>136</v>
      </c>
      <c r="B56" t="s">
        <v>137</v>
      </c>
      <c r="C56" t="s">
        <v>10</v>
      </c>
      <c r="D56" t="s">
        <v>11</v>
      </c>
      <c r="E56" s="1">
        <v>45775</v>
      </c>
      <c r="F56" s="1">
        <v>45775</v>
      </c>
      <c r="G56" t="s">
        <v>110</v>
      </c>
      <c r="H56">
        <v>0</v>
      </c>
    </row>
    <row r="57" spans="1:8" x14ac:dyDescent="0.3">
      <c r="A57" t="s">
        <v>138</v>
      </c>
      <c r="B57" t="s">
        <v>139</v>
      </c>
      <c r="C57" t="s">
        <v>19</v>
      </c>
      <c r="D57" t="s">
        <v>40</v>
      </c>
      <c r="E57" s="1">
        <v>45804</v>
      </c>
      <c r="G57" t="s">
        <v>107</v>
      </c>
      <c r="H57">
        <v>0</v>
      </c>
    </row>
    <row r="58" spans="1:8" x14ac:dyDescent="0.3">
      <c r="A58" t="s">
        <v>140</v>
      </c>
      <c r="B58" t="s">
        <v>141</v>
      </c>
      <c r="C58" t="s">
        <v>113</v>
      </c>
      <c r="D58" t="s">
        <v>11</v>
      </c>
      <c r="E58" s="1">
        <v>45739</v>
      </c>
      <c r="F58" s="1">
        <v>45740</v>
      </c>
      <c r="G58" t="s">
        <v>12</v>
      </c>
      <c r="H58">
        <v>0</v>
      </c>
    </row>
    <row r="59" spans="1:8" x14ac:dyDescent="0.3">
      <c r="A59" t="s">
        <v>142</v>
      </c>
      <c r="B59" t="s">
        <v>143</v>
      </c>
      <c r="C59" t="s">
        <v>10</v>
      </c>
      <c r="D59" t="s">
        <v>11</v>
      </c>
      <c r="E59" s="1">
        <v>45671</v>
      </c>
      <c r="F59" s="1">
        <v>45671</v>
      </c>
      <c r="G59" t="s">
        <v>110</v>
      </c>
      <c r="H59">
        <v>0</v>
      </c>
    </row>
    <row r="60" spans="1:8" x14ac:dyDescent="0.3">
      <c r="A60" t="s">
        <v>144</v>
      </c>
      <c r="B60" t="s">
        <v>145</v>
      </c>
      <c r="C60" t="s">
        <v>10</v>
      </c>
      <c r="D60" t="s">
        <v>65</v>
      </c>
      <c r="E60" s="1">
        <v>45876</v>
      </c>
      <c r="G60" t="s">
        <v>31</v>
      </c>
      <c r="H60">
        <v>0</v>
      </c>
    </row>
    <row r="61" spans="1:8" x14ac:dyDescent="0.3">
      <c r="A61" t="s">
        <v>146</v>
      </c>
      <c r="B61" t="s">
        <v>147</v>
      </c>
      <c r="C61" t="s">
        <v>10</v>
      </c>
      <c r="D61" t="s">
        <v>65</v>
      </c>
      <c r="E61" s="1">
        <v>45958</v>
      </c>
      <c r="F61" s="1">
        <v>45973</v>
      </c>
      <c r="G61" t="s">
        <v>12</v>
      </c>
      <c r="H61">
        <v>239</v>
      </c>
    </row>
    <row r="62" spans="1:8" x14ac:dyDescent="0.3">
      <c r="A62" t="s">
        <v>148</v>
      </c>
      <c r="B62" t="s">
        <v>149</v>
      </c>
      <c r="C62" t="s">
        <v>28</v>
      </c>
      <c r="D62" t="s">
        <v>65</v>
      </c>
      <c r="E62" s="1">
        <v>45685</v>
      </c>
      <c r="G62" t="s">
        <v>107</v>
      </c>
      <c r="H62">
        <v>0</v>
      </c>
    </row>
    <row r="63" spans="1:8" x14ac:dyDescent="0.3">
      <c r="A63" t="s">
        <v>150</v>
      </c>
      <c r="B63" t="s">
        <v>151</v>
      </c>
      <c r="C63" t="s">
        <v>10</v>
      </c>
      <c r="D63" t="s">
        <v>15</v>
      </c>
      <c r="E63" s="1">
        <v>45660</v>
      </c>
      <c r="F63" s="1">
        <v>45670</v>
      </c>
      <c r="G63" t="s">
        <v>31</v>
      </c>
      <c r="H63">
        <v>0</v>
      </c>
    </row>
    <row r="64" spans="1:8" x14ac:dyDescent="0.3">
      <c r="A64" t="s">
        <v>152</v>
      </c>
      <c r="B64" t="s">
        <v>153</v>
      </c>
      <c r="C64" t="s">
        <v>19</v>
      </c>
      <c r="D64" t="s">
        <v>65</v>
      </c>
      <c r="E64" s="1">
        <v>45708</v>
      </c>
      <c r="F64" s="1">
        <v>45718</v>
      </c>
      <c r="G64" t="s">
        <v>12</v>
      </c>
      <c r="H64">
        <v>124</v>
      </c>
    </row>
    <row r="65" spans="1:8" x14ac:dyDescent="0.3">
      <c r="A65" t="s">
        <v>154</v>
      </c>
      <c r="B65" t="s">
        <v>155</v>
      </c>
      <c r="C65" t="s">
        <v>113</v>
      </c>
      <c r="D65" t="s">
        <v>40</v>
      </c>
      <c r="E65" s="1">
        <v>45811</v>
      </c>
      <c r="F65" s="1">
        <v>45817</v>
      </c>
      <c r="G65" t="s">
        <v>12</v>
      </c>
      <c r="H65">
        <v>0</v>
      </c>
    </row>
    <row r="66" spans="1:8" x14ac:dyDescent="0.3">
      <c r="A66" t="s">
        <v>156</v>
      </c>
      <c r="B66" t="s">
        <v>157</v>
      </c>
      <c r="C66" t="s">
        <v>19</v>
      </c>
      <c r="D66" t="s">
        <v>15</v>
      </c>
      <c r="E66" s="1">
        <v>45808</v>
      </c>
      <c r="F66" s="1">
        <v>45818</v>
      </c>
      <c r="G66" t="s">
        <v>107</v>
      </c>
      <c r="H66">
        <v>0</v>
      </c>
    </row>
    <row r="67" spans="1:8" x14ac:dyDescent="0.3">
      <c r="A67" t="s">
        <v>158</v>
      </c>
      <c r="B67" t="s">
        <v>159</v>
      </c>
      <c r="C67" t="s">
        <v>22</v>
      </c>
      <c r="D67" t="s">
        <v>11</v>
      </c>
      <c r="E67" s="1">
        <v>45851</v>
      </c>
      <c r="G67" t="s">
        <v>110</v>
      </c>
      <c r="H67">
        <v>0</v>
      </c>
    </row>
    <row r="68" spans="1:8" x14ac:dyDescent="0.3">
      <c r="A68" t="s">
        <v>160</v>
      </c>
      <c r="B68" t="s">
        <v>161</v>
      </c>
      <c r="C68" t="s">
        <v>28</v>
      </c>
      <c r="D68" t="s">
        <v>15</v>
      </c>
      <c r="E68" s="1">
        <v>45711</v>
      </c>
      <c r="F68" s="1">
        <v>45725</v>
      </c>
      <c r="G68" t="s">
        <v>110</v>
      </c>
      <c r="H68">
        <v>0</v>
      </c>
    </row>
    <row r="69" spans="1:8" x14ac:dyDescent="0.3">
      <c r="A69" t="s">
        <v>162</v>
      </c>
      <c r="B69" t="s">
        <v>163</v>
      </c>
      <c r="C69" t="s">
        <v>22</v>
      </c>
      <c r="D69" t="s">
        <v>11</v>
      </c>
      <c r="E69" s="1">
        <v>45843</v>
      </c>
      <c r="F69" s="1">
        <v>45848</v>
      </c>
      <c r="G69" t="s">
        <v>12</v>
      </c>
      <c r="H69">
        <v>238</v>
      </c>
    </row>
    <row r="70" spans="1:8" x14ac:dyDescent="0.3">
      <c r="A70" t="s">
        <v>164</v>
      </c>
      <c r="B70" t="s">
        <v>165</v>
      </c>
      <c r="C70" t="s">
        <v>19</v>
      </c>
      <c r="D70" t="s">
        <v>40</v>
      </c>
      <c r="E70" s="1">
        <v>45841</v>
      </c>
      <c r="F70" s="1">
        <v>45856</v>
      </c>
      <c r="G70" t="s">
        <v>107</v>
      </c>
      <c r="H70">
        <v>0</v>
      </c>
    </row>
    <row r="71" spans="1:8" x14ac:dyDescent="0.3">
      <c r="A71" t="s">
        <v>166</v>
      </c>
      <c r="B71" t="s">
        <v>167</v>
      </c>
      <c r="C71" t="s">
        <v>19</v>
      </c>
      <c r="D71" t="s">
        <v>11</v>
      </c>
      <c r="E71" s="1">
        <v>45691</v>
      </c>
      <c r="F71" s="1">
        <v>45706</v>
      </c>
      <c r="G71" t="s">
        <v>12</v>
      </c>
      <c r="H71">
        <v>224</v>
      </c>
    </row>
    <row r="72" spans="1:8" x14ac:dyDescent="0.3">
      <c r="A72" t="s">
        <v>168</v>
      </c>
      <c r="B72" t="s">
        <v>169</v>
      </c>
      <c r="C72" t="s">
        <v>28</v>
      </c>
      <c r="D72" t="s">
        <v>15</v>
      </c>
      <c r="E72" s="1">
        <v>45880</v>
      </c>
      <c r="F72" s="1">
        <v>45882</v>
      </c>
      <c r="G72" t="s">
        <v>110</v>
      </c>
      <c r="H72">
        <v>0</v>
      </c>
    </row>
    <row r="73" spans="1:8" x14ac:dyDescent="0.3">
      <c r="A73" t="s">
        <v>170</v>
      </c>
      <c r="B73" t="s">
        <v>171</v>
      </c>
      <c r="C73" t="s">
        <v>28</v>
      </c>
      <c r="D73" t="s">
        <v>15</v>
      </c>
      <c r="E73" s="1">
        <v>45885</v>
      </c>
      <c r="F73" s="1">
        <v>45900</v>
      </c>
      <c r="G73" t="s">
        <v>16</v>
      </c>
      <c r="H73">
        <v>0</v>
      </c>
    </row>
    <row r="74" spans="1:8" x14ac:dyDescent="0.3">
      <c r="A74" t="s">
        <v>172</v>
      </c>
      <c r="B74" t="s">
        <v>173</v>
      </c>
      <c r="C74" t="s">
        <v>28</v>
      </c>
      <c r="D74" t="s">
        <v>15</v>
      </c>
      <c r="E74" s="1">
        <v>45953</v>
      </c>
      <c r="F74" s="1">
        <v>45964</v>
      </c>
      <c r="G74" t="s">
        <v>31</v>
      </c>
      <c r="H74">
        <v>0</v>
      </c>
    </row>
    <row r="75" spans="1:8" x14ac:dyDescent="0.3">
      <c r="A75" t="s">
        <v>174</v>
      </c>
      <c r="B75" t="s">
        <v>175</v>
      </c>
      <c r="C75" t="s">
        <v>10</v>
      </c>
      <c r="D75" t="s">
        <v>65</v>
      </c>
      <c r="E75" s="1">
        <v>45897</v>
      </c>
      <c r="F75" s="1">
        <v>45905</v>
      </c>
      <c r="G75" t="s">
        <v>107</v>
      </c>
      <c r="H75">
        <v>0</v>
      </c>
    </row>
    <row r="76" spans="1:8" x14ac:dyDescent="0.3">
      <c r="A76" t="s">
        <v>176</v>
      </c>
      <c r="B76" t="s">
        <v>177</v>
      </c>
      <c r="C76" t="s">
        <v>28</v>
      </c>
      <c r="D76" t="s">
        <v>40</v>
      </c>
      <c r="E76" s="1">
        <v>45677</v>
      </c>
      <c r="F76" s="1">
        <v>45677</v>
      </c>
      <c r="G76" t="s">
        <v>16</v>
      </c>
      <c r="H76">
        <v>0</v>
      </c>
    </row>
    <row r="77" spans="1:8" x14ac:dyDescent="0.3">
      <c r="A77" t="s">
        <v>178</v>
      </c>
      <c r="B77" t="s">
        <v>179</v>
      </c>
      <c r="C77" t="s">
        <v>28</v>
      </c>
      <c r="D77" t="s">
        <v>40</v>
      </c>
      <c r="E77" s="1">
        <v>45740</v>
      </c>
      <c r="G77" t="s">
        <v>107</v>
      </c>
      <c r="H77">
        <v>0</v>
      </c>
    </row>
    <row r="78" spans="1:8" x14ac:dyDescent="0.3">
      <c r="A78" t="s">
        <v>180</v>
      </c>
      <c r="B78" t="s">
        <v>181</v>
      </c>
      <c r="C78" t="s">
        <v>19</v>
      </c>
      <c r="D78" t="s">
        <v>15</v>
      </c>
      <c r="E78" s="1">
        <v>45669</v>
      </c>
      <c r="G78" t="s">
        <v>12</v>
      </c>
      <c r="H78">
        <v>200</v>
      </c>
    </row>
    <row r="79" spans="1:8" x14ac:dyDescent="0.3">
      <c r="A79" t="s">
        <v>182</v>
      </c>
      <c r="B79" t="s">
        <v>183</v>
      </c>
      <c r="C79" t="s">
        <v>22</v>
      </c>
      <c r="D79" t="s">
        <v>11</v>
      </c>
      <c r="E79" s="1">
        <v>45924</v>
      </c>
      <c r="F79" s="1">
        <v>45930</v>
      </c>
      <c r="G79" t="s">
        <v>31</v>
      </c>
      <c r="H79">
        <v>0</v>
      </c>
    </row>
    <row r="80" spans="1:8" x14ac:dyDescent="0.3">
      <c r="A80" t="s">
        <v>184</v>
      </c>
      <c r="B80" t="s">
        <v>185</v>
      </c>
      <c r="C80" t="s">
        <v>19</v>
      </c>
      <c r="D80" t="s">
        <v>40</v>
      </c>
      <c r="E80" s="1">
        <v>45889</v>
      </c>
      <c r="F80" s="1">
        <v>45897</v>
      </c>
      <c r="G80" t="s">
        <v>12</v>
      </c>
      <c r="H80">
        <v>280</v>
      </c>
    </row>
    <row r="81" spans="1:8" x14ac:dyDescent="0.3">
      <c r="A81" t="s">
        <v>186</v>
      </c>
      <c r="B81" t="s">
        <v>187</v>
      </c>
      <c r="C81" t="s">
        <v>22</v>
      </c>
      <c r="D81" t="s">
        <v>40</v>
      </c>
      <c r="E81" s="1">
        <v>45686</v>
      </c>
      <c r="F81" s="1">
        <v>45697</v>
      </c>
      <c r="G81" t="s">
        <v>16</v>
      </c>
      <c r="H81">
        <v>0</v>
      </c>
    </row>
    <row r="82" spans="1:8" x14ac:dyDescent="0.3">
      <c r="A82" t="s">
        <v>188</v>
      </c>
      <c r="B82" t="s">
        <v>189</v>
      </c>
      <c r="C82" t="s">
        <v>113</v>
      </c>
      <c r="D82" t="s">
        <v>65</v>
      </c>
      <c r="E82" s="1">
        <v>45925</v>
      </c>
      <c r="F82" s="1">
        <v>45932</v>
      </c>
      <c r="G82" t="s">
        <v>107</v>
      </c>
      <c r="H82">
        <v>0</v>
      </c>
    </row>
    <row r="83" spans="1:8" x14ac:dyDescent="0.3">
      <c r="A83" t="s">
        <v>190</v>
      </c>
      <c r="B83" t="s">
        <v>191</v>
      </c>
      <c r="C83" t="s">
        <v>10</v>
      </c>
      <c r="D83" t="s">
        <v>15</v>
      </c>
      <c r="E83" s="1">
        <v>45950</v>
      </c>
      <c r="F83" s="1">
        <v>45950</v>
      </c>
      <c r="G83" t="s">
        <v>107</v>
      </c>
      <c r="H83">
        <v>0</v>
      </c>
    </row>
    <row r="84" spans="1:8" x14ac:dyDescent="0.3">
      <c r="A84" t="s">
        <v>192</v>
      </c>
      <c r="B84" t="s">
        <v>193</v>
      </c>
      <c r="C84" t="s">
        <v>19</v>
      </c>
      <c r="D84" t="s">
        <v>65</v>
      </c>
      <c r="E84" s="1">
        <v>45865</v>
      </c>
      <c r="F84" s="1">
        <v>45872</v>
      </c>
      <c r="G84" t="s">
        <v>16</v>
      </c>
      <c r="H84">
        <v>0</v>
      </c>
    </row>
    <row r="85" spans="1:8" x14ac:dyDescent="0.3">
      <c r="A85" t="s">
        <v>194</v>
      </c>
      <c r="B85" t="s">
        <v>195</v>
      </c>
      <c r="C85" t="s">
        <v>19</v>
      </c>
      <c r="D85" t="s">
        <v>11</v>
      </c>
      <c r="E85" s="1">
        <v>45908</v>
      </c>
      <c r="G85" t="s">
        <v>12</v>
      </c>
      <c r="H85">
        <v>138</v>
      </c>
    </row>
    <row r="86" spans="1:8" x14ac:dyDescent="0.3">
      <c r="A86" t="s">
        <v>196</v>
      </c>
      <c r="B86" t="s">
        <v>197</v>
      </c>
      <c r="C86" t="s">
        <v>19</v>
      </c>
      <c r="D86" t="s">
        <v>11</v>
      </c>
      <c r="E86" s="1">
        <v>45805</v>
      </c>
      <c r="F86" s="1">
        <v>45811</v>
      </c>
      <c r="G86" t="s">
        <v>12</v>
      </c>
      <c r="H86">
        <v>0</v>
      </c>
    </row>
    <row r="87" spans="1:8" x14ac:dyDescent="0.3">
      <c r="A87" t="s">
        <v>198</v>
      </c>
      <c r="B87" t="s">
        <v>199</v>
      </c>
      <c r="C87" t="s">
        <v>10</v>
      </c>
      <c r="D87" t="s">
        <v>65</v>
      </c>
      <c r="E87" s="1">
        <v>45898</v>
      </c>
      <c r="F87" s="1">
        <v>45904</v>
      </c>
      <c r="G87" t="s">
        <v>107</v>
      </c>
      <c r="H87">
        <v>0</v>
      </c>
    </row>
    <row r="88" spans="1:8" x14ac:dyDescent="0.3">
      <c r="A88" t="s">
        <v>200</v>
      </c>
      <c r="B88" t="s">
        <v>201</v>
      </c>
      <c r="C88" t="s">
        <v>22</v>
      </c>
      <c r="D88" t="s">
        <v>11</v>
      </c>
      <c r="E88" s="1">
        <v>45941</v>
      </c>
      <c r="F88" s="1">
        <v>45945</v>
      </c>
      <c r="G88" t="s">
        <v>107</v>
      </c>
      <c r="H88">
        <v>0</v>
      </c>
    </row>
    <row r="89" spans="1:8" x14ac:dyDescent="0.3">
      <c r="A89" t="s">
        <v>202</v>
      </c>
      <c r="B89" t="s">
        <v>203</v>
      </c>
      <c r="C89" t="s">
        <v>19</v>
      </c>
      <c r="D89" t="s">
        <v>65</v>
      </c>
      <c r="E89" s="1">
        <v>45944</v>
      </c>
      <c r="F89" s="1">
        <v>45944</v>
      </c>
      <c r="G89" t="s">
        <v>31</v>
      </c>
      <c r="H89">
        <v>0</v>
      </c>
    </row>
    <row r="90" spans="1:8" x14ac:dyDescent="0.3">
      <c r="A90" t="s">
        <v>204</v>
      </c>
      <c r="B90" t="s">
        <v>205</v>
      </c>
      <c r="C90" t="s">
        <v>19</v>
      </c>
      <c r="D90" t="s">
        <v>65</v>
      </c>
      <c r="E90" s="1">
        <v>45930</v>
      </c>
      <c r="F90" s="1">
        <v>45945</v>
      </c>
      <c r="G90" t="s">
        <v>12</v>
      </c>
      <c r="H90">
        <v>0</v>
      </c>
    </row>
    <row r="91" spans="1:8" x14ac:dyDescent="0.3">
      <c r="A91" t="s">
        <v>206</v>
      </c>
      <c r="B91" t="s">
        <v>207</v>
      </c>
      <c r="C91" t="s">
        <v>28</v>
      </c>
      <c r="D91" t="s">
        <v>11</v>
      </c>
      <c r="E91" s="1">
        <v>45758</v>
      </c>
      <c r="G91" t="s">
        <v>16</v>
      </c>
      <c r="H91">
        <v>0</v>
      </c>
    </row>
    <row r="92" spans="1:8" x14ac:dyDescent="0.3">
      <c r="A92" t="s">
        <v>208</v>
      </c>
      <c r="B92" t="s">
        <v>209</v>
      </c>
      <c r="C92" t="s">
        <v>10</v>
      </c>
      <c r="D92" t="s">
        <v>11</v>
      </c>
      <c r="E92" s="1">
        <v>45744</v>
      </c>
      <c r="F92" s="1">
        <v>45759</v>
      </c>
      <c r="G92" t="s">
        <v>107</v>
      </c>
      <c r="H92">
        <v>0</v>
      </c>
    </row>
    <row r="93" spans="1:8" x14ac:dyDescent="0.3">
      <c r="A93" t="s">
        <v>210</v>
      </c>
      <c r="B93" t="s">
        <v>211</v>
      </c>
      <c r="C93" t="s">
        <v>22</v>
      </c>
      <c r="D93" t="s">
        <v>11</v>
      </c>
      <c r="E93" s="1">
        <v>45816</v>
      </c>
      <c r="F93" s="1">
        <v>45818</v>
      </c>
      <c r="G93" t="s">
        <v>12</v>
      </c>
      <c r="H93">
        <v>218</v>
      </c>
    </row>
    <row r="94" spans="1:8" x14ac:dyDescent="0.3">
      <c r="A94" t="s">
        <v>212</v>
      </c>
      <c r="B94" t="s">
        <v>213</v>
      </c>
      <c r="C94" t="s">
        <v>28</v>
      </c>
      <c r="D94" t="s">
        <v>65</v>
      </c>
      <c r="E94" s="1">
        <v>45852</v>
      </c>
      <c r="F94" s="1">
        <v>45857</v>
      </c>
      <c r="G94" t="s">
        <v>31</v>
      </c>
      <c r="H94">
        <v>0</v>
      </c>
    </row>
    <row r="95" spans="1:8" x14ac:dyDescent="0.3">
      <c r="A95" t="s">
        <v>214</v>
      </c>
      <c r="B95" t="s">
        <v>215</v>
      </c>
      <c r="C95" t="s">
        <v>22</v>
      </c>
      <c r="D95" t="s">
        <v>11</v>
      </c>
      <c r="E95" s="1">
        <v>45810</v>
      </c>
      <c r="F95" s="1">
        <v>45823</v>
      </c>
      <c r="G95" t="s">
        <v>12</v>
      </c>
      <c r="H95">
        <v>254</v>
      </c>
    </row>
    <row r="96" spans="1:8" x14ac:dyDescent="0.3">
      <c r="A96" t="s">
        <v>216</v>
      </c>
      <c r="B96" t="s">
        <v>217</v>
      </c>
      <c r="C96" t="s">
        <v>10</v>
      </c>
      <c r="D96" t="s">
        <v>65</v>
      </c>
      <c r="E96" s="1">
        <v>45936</v>
      </c>
      <c r="F96" s="1">
        <v>45941</v>
      </c>
      <c r="G96" t="s">
        <v>31</v>
      </c>
      <c r="H96">
        <v>0</v>
      </c>
    </row>
    <row r="97" spans="1:8" x14ac:dyDescent="0.3">
      <c r="A97" t="s">
        <v>218</v>
      </c>
      <c r="B97" t="s">
        <v>219</v>
      </c>
      <c r="C97" t="s">
        <v>28</v>
      </c>
      <c r="D97" t="s">
        <v>40</v>
      </c>
      <c r="E97" s="1">
        <v>45757</v>
      </c>
      <c r="F97" s="1">
        <v>45763</v>
      </c>
      <c r="G97" t="s">
        <v>12</v>
      </c>
      <c r="H97">
        <v>0</v>
      </c>
    </row>
    <row r="98" spans="1:8" x14ac:dyDescent="0.3">
      <c r="A98" t="s">
        <v>220</v>
      </c>
      <c r="B98" t="s">
        <v>221</v>
      </c>
      <c r="C98" t="s">
        <v>10</v>
      </c>
      <c r="D98" t="s">
        <v>40</v>
      </c>
      <c r="E98" s="1">
        <v>45909</v>
      </c>
      <c r="F98" s="1">
        <v>45911</v>
      </c>
      <c r="G98" t="s">
        <v>107</v>
      </c>
      <c r="H98">
        <v>0</v>
      </c>
    </row>
    <row r="99" spans="1:8" x14ac:dyDescent="0.3">
      <c r="A99" t="s">
        <v>222</v>
      </c>
      <c r="B99" t="s">
        <v>223</v>
      </c>
      <c r="C99" t="s">
        <v>19</v>
      </c>
      <c r="D99" t="s">
        <v>15</v>
      </c>
      <c r="E99" s="1">
        <v>45780</v>
      </c>
      <c r="F99" s="1">
        <v>45782</v>
      </c>
      <c r="G99" t="s">
        <v>110</v>
      </c>
      <c r="H99">
        <v>0</v>
      </c>
    </row>
    <row r="100" spans="1:8" x14ac:dyDescent="0.3">
      <c r="A100" t="s">
        <v>224</v>
      </c>
      <c r="B100" t="s">
        <v>225</v>
      </c>
      <c r="C100" t="s">
        <v>22</v>
      </c>
      <c r="D100" t="s">
        <v>65</v>
      </c>
      <c r="E100" s="1">
        <v>45722</v>
      </c>
      <c r="F100" s="1">
        <v>45724</v>
      </c>
      <c r="G100" t="s">
        <v>107</v>
      </c>
      <c r="H100">
        <v>0</v>
      </c>
    </row>
    <row r="101" spans="1:8" x14ac:dyDescent="0.3">
      <c r="A101" t="s">
        <v>226</v>
      </c>
      <c r="B101" t="s">
        <v>227</v>
      </c>
      <c r="C101" t="s">
        <v>28</v>
      </c>
      <c r="D101" t="s">
        <v>40</v>
      </c>
      <c r="E101" s="1">
        <v>45933</v>
      </c>
      <c r="F101" s="1">
        <v>45934</v>
      </c>
      <c r="G101" t="s">
        <v>16</v>
      </c>
      <c r="H101">
        <v>0</v>
      </c>
    </row>
    <row r="102" spans="1:8" x14ac:dyDescent="0.3">
      <c r="A102" t="s">
        <v>228</v>
      </c>
      <c r="B102" t="s">
        <v>229</v>
      </c>
      <c r="C102" t="s">
        <v>113</v>
      </c>
      <c r="D102" t="s">
        <v>65</v>
      </c>
      <c r="E102" s="1">
        <v>45844</v>
      </c>
      <c r="G102" t="s">
        <v>16</v>
      </c>
      <c r="H102">
        <v>0</v>
      </c>
    </row>
    <row r="103" spans="1:8" x14ac:dyDescent="0.3">
      <c r="A103" t="s">
        <v>230</v>
      </c>
      <c r="B103" t="s">
        <v>231</v>
      </c>
      <c r="C103" t="s">
        <v>22</v>
      </c>
      <c r="D103" t="s">
        <v>11</v>
      </c>
      <c r="E103" s="1">
        <v>45812</v>
      </c>
      <c r="G103" t="s">
        <v>107</v>
      </c>
      <c r="H103">
        <v>0</v>
      </c>
    </row>
    <row r="104" spans="1:8" x14ac:dyDescent="0.3">
      <c r="A104" t="s">
        <v>232</v>
      </c>
      <c r="B104" t="s">
        <v>233</v>
      </c>
      <c r="C104" t="s">
        <v>10</v>
      </c>
      <c r="D104" t="s">
        <v>11</v>
      </c>
      <c r="E104" s="1">
        <v>45828</v>
      </c>
      <c r="F104" s="1">
        <v>45839</v>
      </c>
      <c r="G104" t="s">
        <v>107</v>
      </c>
      <c r="H104">
        <v>0</v>
      </c>
    </row>
    <row r="105" spans="1:8" x14ac:dyDescent="0.3">
      <c r="A105" t="s">
        <v>234</v>
      </c>
      <c r="B105" t="s">
        <v>235</v>
      </c>
      <c r="C105" t="s">
        <v>113</v>
      </c>
      <c r="D105" t="s">
        <v>65</v>
      </c>
      <c r="E105" s="1">
        <v>45708</v>
      </c>
      <c r="F105" s="1">
        <v>45709</v>
      </c>
      <c r="G105" t="s">
        <v>107</v>
      </c>
      <c r="H105">
        <v>0</v>
      </c>
    </row>
    <row r="106" spans="1:8" x14ac:dyDescent="0.3">
      <c r="A106" t="s">
        <v>236</v>
      </c>
      <c r="B106" t="s">
        <v>237</v>
      </c>
      <c r="C106" t="s">
        <v>19</v>
      </c>
      <c r="D106" t="s">
        <v>11</v>
      </c>
      <c r="E106" s="1">
        <v>45700</v>
      </c>
      <c r="F106" s="1">
        <v>45701</v>
      </c>
      <c r="G106" t="s">
        <v>16</v>
      </c>
      <c r="H106">
        <v>0</v>
      </c>
    </row>
    <row r="107" spans="1:8" x14ac:dyDescent="0.3">
      <c r="A107" t="s">
        <v>238</v>
      </c>
      <c r="B107" t="s">
        <v>239</v>
      </c>
      <c r="C107" t="s">
        <v>28</v>
      </c>
      <c r="D107" t="s">
        <v>11</v>
      </c>
      <c r="E107" s="1">
        <v>45890</v>
      </c>
      <c r="F107" s="1">
        <v>45897</v>
      </c>
      <c r="G107" t="s">
        <v>107</v>
      </c>
      <c r="H107">
        <v>0</v>
      </c>
    </row>
    <row r="108" spans="1:8" x14ac:dyDescent="0.3">
      <c r="A108" t="s">
        <v>240</v>
      </c>
      <c r="B108" t="s">
        <v>241</v>
      </c>
      <c r="C108" t="s">
        <v>10</v>
      </c>
      <c r="D108" t="s">
        <v>11</v>
      </c>
      <c r="E108" s="1">
        <v>45950</v>
      </c>
      <c r="F108" s="1">
        <v>45956</v>
      </c>
      <c r="G108" t="s">
        <v>107</v>
      </c>
      <c r="H108">
        <v>0</v>
      </c>
    </row>
    <row r="109" spans="1:8" x14ac:dyDescent="0.3">
      <c r="A109" t="s">
        <v>242</v>
      </c>
      <c r="B109" t="s">
        <v>243</v>
      </c>
      <c r="C109" t="s">
        <v>10</v>
      </c>
      <c r="D109" t="s">
        <v>15</v>
      </c>
      <c r="E109" s="1">
        <v>45830</v>
      </c>
      <c r="G109" t="s">
        <v>12</v>
      </c>
      <c r="H109">
        <v>0</v>
      </c>
    </row>
    <row r="110" spans="1:8" x14ac:dyDescent="0.3">
      <c r="A110" t="s">
        <v>244</v>
      </c>
      <c r="B110" t="s">
        <v>245</v>
      </c>
      <c r="C110" t="s">
        <v>28</v>
      </c>
      <c r="D110" t="s">
        <v>15</v>
      </c>
      <c r="E110" s="1">
        <v>45952</v>
      </c>
      <c r="F110" s="1">
        <v>45954</v>
      </c>
      <c r="G110" t="s">
        <v>31</v>
      </c>
      <c r="H110">
        <v>0</v>
      </c>
    </row>
    <row r="111" spans="1:8" x14ac:dyDescent="0.3">
      <c r="A111" t="s">
        <v>246</v>
      </c>
      <c r="B111" t="s">
        <v>247</v>
      </c>
      <c r="C111" t="s">
        <v>28</v>
      </c>
      <c r="D111" t="s">
        <v>65</v>
      </c>
      <c r="E111" s="1">
        <v>45789</v>
      </c>
      <c r="F111" s="1">
        <v>45794</v>
      </c>
      <c r="G111" t="s">
        <v>107</v>
      </c>
      <c r="H111">
        <v>0</v>
      </c>
    </row>
    <row r="112" spans="1:8" x14ac:dyDescent="0.3">
      <c r="A112" t="s">
        <v>248</v>
      </c>
      <c r="B112" t="s">
        <v>249</v>
      </c>
      <c r="C112" t="s">
        <v>10</v>
      </c>
      <c r="D112" t="s">
        <v>11</v>
      </c>
      <c r="E112" s="1">
        <v>45754</v>
      </c>
      <c r="F112" s="1">
        <v>45764</v>
      </c>
      <c r="G112" t="s">
        <v>16</v>
      </c>
      <c r="H112">
        <v>0</v>
      </c>
    </row>
    <row r="113" spans="1:8" x14ac:dyDescent="0.3">
      <c r="A113" t="s">
        <v>250</v>
      </c>
      <c r="B113" t="s">
        <v>251</v>
      </c>
      <c r="C113" t="s">
        <v>19</v>
      </c>
      <c r="D113" t="s">
        <v>11</v>
      </c>
      <c r="E113" s="1">
        <v>45824</v>
      </c>
      <c r="F113" s="1">
        <v>45836</v>
      </c>
      <c r="G113" t="s">
        <v>16</v>
      </c>
      <c r="H113">
        <v>0</v>
      </c>
    </row>
    <row r="114" spans="1:8" x14ac:dyDescent="0.3">
      <c r="A114" t="s">
        <v>252</v>
      </c>
      <c r="B114" t="s">
        <v>253</v>
      </c>
      <c r="C114" t="s">
        <v>22</v>
      </c>
      <c r="D114" t="s">
        <v>11</v>
      </c>
      <c r="E114" s="1">
        <v>45771</v>
      </c>
      <c r="F114" s="1">
        <v>45786</v>
      </c>
      <c r="G114" t="s">
        <v>107</v>
      </c>
      <c r="H114">
        <v>0</v>
      </c>
    </row>
    <row r="115" spans="1:8" x14ac:dyDescent="0.3">
      <c r="A115" t="s">
        <v>254</v>
      </c>
      <c r="B115" t="s">
        <v>255</v>
      </c>
      <c r="C115" t="s">
        <v>19</v>
      </c>
      <c r="D115" t="s">
        <v>15</v>
      </c>
      <c r="E115" s="1">
        <v>45796</v>
      </c>
      <c r="F115" s="1">
        <v>45809</v>
      </c>
      <c r="G115" t="s">
        <v>16</v>
      </c>
      <c r="H115">
        <v>0</v>
      </c>
    </row>
    <row r="116" spans="1:8" x14ac:dyDescent="0.3">
      <c r="A116" t="s">
        <v>256</v>
      </c>
      <c r="B116" t="s">
        <v>257</v>
      </c>
      <c r="C116" t="s">
        <v>10</v>
      </c>
      <c r="D116" t="s">
        <v>11</v>
      </c>
      <c r="E116" s="1">
        <v>45943</v>
      </c>
      <c r="F116" s="1">
        <v>45951</v>
      </c>
      <c r="G116" t="s">
        <v>110</v>
      </c>
      <c r="H116">
        <v>0</v>
      </c>
    </row>
    <row r="117" spans="1:8" x14ac:dyDescent="0.3">
      <c r="A117" t="s">
        <v>258</v>
      </c>
      <c r="B117" t="s">
        <v>259</v>
      </c>
      <c r="C117" t="s">
        <v>19</v>
      </c>
      <c r="D117" t="s">
        <v>40</v>
      </c>
      <c r="E117" s="1">
        <v>45715</v>
      </c>
      <c r="F117" s="1">
        <v>45728</v>
      </c>
      <c r="G117" t="s">
        <v>110</v>
      </c>
      <c r="H117">
        <v>0</v>
      </c>
    </row>
    <row r="118" spans="1:8" x14ac:dyDescent="0.3">
      <c r="A118" t="s">
        <v>260</v>
      </c>
      <c r="B118" t="s">
        <v>261</v>
      </c>
      <c r="C118" t="s">
        <v>113</v>
      </c>
      <c r="D118" t="s">
        <v>15</v>
      </c>
      <c r="E118" s="1">
        <v>45745</v>
      </c>
      <c r="F118" s="1">
        <v>45758</v>
      </c>
      <c r="G118" t="s">
        <v>110</v>
      </c>
      <c r="H118">
        <v>0</v>
      </c>
    </row>
    <row r="119" spans="1:8" x14ac:dyDescent="0.3">
      <c r="A119" t="s">
        <v>262</v>
      </c>
      <c r="B119" t="s">
        <v>263</v>
      </c>
      <c r="C119" t="s">
        <v>19</v>
      </c>
      <c r="D119" t="s">
        <v>11</v>
      </c>
      <c r="E119" s="1">
        <v>45952</v>
      </c>
      <c r="F119" s="1">
        <v>45953</v>
      </c>
      <c r="G119" t="s">
        <v>12</v>
      </c>
      <c r="H119">
        <v>100</v>
      </c>
    </row>
    <row r="120" spans="1:8" x14ac:dyDescent="0.3">
      <c r="A120" t="s">
        <v>264</v>
      </c>
      <c r="B120" t="s">
        <v>265</v>
      </c>
      <c r="C120" t="s">
        <v>28</v>
      </c>
      <c r="D120" t="s">
        <v>40</v>
      </c>
      <c r="E120" s="1">
        <v>45701</v>
      </c>
      <c r="F120" s="1">
        <v>45712</v>
      </c>
      <c r="G120" t="s">
        <v>107</v>
      </c>
      <c r="H120">
        <v>0</v>
      </c>
    </row>
    <row r="121" spans="1:8" x14ac:dyDescent="0.3">
      <c r="A121" t="s">
        <v>266</v>
      </c>
      <c r="B121" t="s">
        <v>267</v>
      </c>
      <c r="C121" t="s">
        <v>10</v>
      </c>
      <c r="D121" t="s">
        <v>65</v>
      </c>
      <c r="E121" s="1">
        <v>45880</v>
      </c>
      <c r="F121" s="1">
        <v>45887</v>
      </c>
      <c r="G121" t="s">
        <v>107</v>
      </c>
      <c r="H121">
        <v>0</v>
      </c>
    </row>
    <row r="122" spans="1:8" x14ac:dyDescent="0.3">
      <c r="A122" t="s">
        <v>268</v>
      </c>
      <c r="B122" t="s">
        <v>269</v>
      </c>
      <c r="C122" t="s">
        <v>113</v>
      </c>
      <c r="D122" t="s">
        <v>65</v>
      </c>
      <c r="E122" s="1">
        <v>45876</v>
      </c>
      <c r="G122" t="s">
        <v>107</v>
      </c>
      <c r="H122">
        <v>0</v>
      </c>
    </row>
    <row r="123" spans="1:8" x14ac:dyDescent="0.3">
      <c r="A123" t="s">
        <v>270</v>
      </c>
      <c r="B123" t="s">
        <v>271</v>
      </c>
      <c r="C123" t="s">
        <v>19</v>
      </c>
      <c r="D123" t="s">
        <v>40</v>
      </c>
      <c r="E123" s="1">
        <v>45738</v>
      </c>
      <c r="F123" s="1">
        <v>45752</v>
      </c>
      <c r="G123" t="s">
        <v>110</v>
      </c>
      <c r="H123">
        <v>0</v>
      </c>
    </row>
    <row r="124" spans="1:8" x14ac:dyDescent="0.3">
      <c r="A124" t="s">
        <v>272</v>
      </c>
      <c r="B124" t="s">
        <v>273</v>
      </c>
      <c r="C124" t="s">
        <v>22</v>
      </c>
      <c r="D124" t="s">
        <v>15</v>
      </c>
      <c r="E124" s="1">
        <v>45691</v>
      </c>
      <c r="F124" s="1">
        <v>45697</v>
      </c>
      <c r="G124" t="s">
        <v>31</v>
      </c>
      <c r="H124">
        <v>0</v>
      </c>
    </row>
    <row r="125" spans="1:8" x14ac:dyDescent="0.3">
      <c r="A125" t="s">
        <v>274</v>
      </c>
      <c r="B125" t="s">
        <v>275</v>
      </c>
      <c r="C125" t="s">
        <v>10</v>
      </c>
      <c r="D125" t="s">
        <v>65</v>
      </c>
      <c r="E125" s="1">
        <v>45768</v>
      </c>
      <c r="F125" s="1">
        <v>45775</v>
      </c>
      <c r="G125" t="s">
        <v>107</v>
      </c>
      <c r="H125">
        <v>0</v>
      </c>
    </row>
    <row r="126" spans="1:8" x14ac:dyDescent="0.3">
      <c r="A126" t="s">
        <v>276</v>
      </c>
      <c r="B126" t="s">
        <v>277</v>
      </c>
      <c r="C126" t="s">
        <v>28</v>
      </c>
      <c r="D126" t="s">
        <v>11</v>
      </c>
      <c r="E126" s="1">
        <v>45948</v>
      </c>
      <c r="F126" s="1">
        <v>45949</v>
      </c>
      <c r="G126" t="s">
        <v>110</v>
      </c>
      <c r="H126">
        <v>0</v>
      </c>
    </row>
    <row r="127" spans="1:8" x14ac:dyDescent="0.3">
      <c r="A127" t="s">
        <v>278</v>
      </c>
      <c r="B127" t="s">
        <v>279</v>
      </c>
      <c r="C127" t="s">
        <v>22</v>
      </c>
      <c r="D127" t="s">
        <v>11</v>
      </c>
      <c r="E127" s="1">
        <v>45690</v>
      </c>
      <c r="G127" t="s">
        <v>16</v>
      </c>
      <c r="H127">
        <v>0</v>
      </c>
    </row>
    <row r="128" spans="1:8" x14ac:dyDescent="0.3">
      <c r="A128" t="s">
        <v>280</v>
      </c>
      <c r="B128" t="s">
        <v>281</v>
      </c>
      <c r="C128" t="s">
        <v>22</v>
      </c>
      <c r="D128" t="s">
        <v>11</v>
      </c>
      <c r="E128" s="1">
        <v>45766</v>
      </c>
      <c r="F128" s="1">
        <v>45780</v>
      </c>
      <c r="G128" t="s">
        <v>31</v>
      </c>
      <c r="H128">
        <v>0</v>
      </c>
    </row>
    <row r="129" spans="1:8" x14ac:dyDescent="0.3">
      <c r="A129" t="s">
        <v>282</v>
      </c>
      <c r="B129" t="s">
        <v>283</v>
      </c>
      <c r="C129" t="s">
        <v>22</v>
      </c>
      <c r="D129" t="s">
        <v>11</v>
      </c>
      <c r="E129" s="1">
        <v>45708</v>
      </c>
      <c r="F129" s="1">
        <v>45713</v>
      </c>
      <c r="G129" t="s">
        <v>16</v>
      </c>
      <c r="H129">
        <v>0</v>
      </c>
    </row>
    <row r="130" spans="1:8" x14ac:dyDescent="0.3">
      <c r="A130" t="s">
        <v>284</v>
      </c>
      <c r="B130" t="s">
        <v>285</v>
      </c>
      <c r="C130" t="s">
        <v>28</v>
      </c>
      <c r="D130" t="s">
        <v>40</v>
      </c>
      <c r="E130" s="1">
        <v>45697</v>
      </c>
      <c r="F130" s="1">
        <v>45709</v>
      </c>
      <c r="G130" t="s">
        <v>110</v>
      </c>
      <c r="H130">
        <v>0</v>
      </c>
    </row>
    <row r="131" spans="1:8" x14ac:dyDescent="0.3">
      <c r="A131" t="s">
        <v>286</v>
      </c>
      <c r="B131" t="s">
        <v>287</v>
      </c>
      <c r="C131" t="s">
        <v>113</v>
      </c>
      <c r="D131" t="s">
        <v>15</v>
      </c>
      <c r="E131" s="1">
        <v>45743</v>
      </c>
      <c r="G131" t="s">
        <v>31</v>
      </c>
      <c r="H131">
        <v>0</v>
      </c>
    </row>
    <row r="132" spans="1:8" x14ac:dyDescent="0.3">
      <c r="A132" t="s">
        <v>288</v>
      </c>
      <c r="B132" t="s">
        <v>289</v>
      </c>
      <c r="C132" t="s">
        <v>10</v>
      </c>
      <c r="D132" t="s">
        <v>11</v>
      </c>
      <c r="E132" s="1">
        <v>45828</v>
      </c>
      <c r="F132" s="1">
        <v>45833</v>
      </c>
      <c r="G132" t="s">
        <v>16</v>
      </c>
      <c r="H132">
        <v>0</v>
      </c>
    </row>
    <row r="133" spans="1:8" x14ac:dyDescent="0.3">
      <c r="A133" t="s">
        <v>290</v>
      </c>
      <c r="B133" t="s">
        <v>291</v>
      </c>
      <c r="C133" t="s">
        <v>19</v>
      </c>
      <c r="D133" t="s">
        <v>40</v>
      </c>
      <c r="E133" s="1">
        <v>45861</v>
      </c>
      <c r="F133" s="1">
        <v>45867</v>
      </c>
      <c r="G133" t="s">
        <v>107</v>
      </c>
      <c r="H133">
        <v>0</v>
      </c>
    </row>
    <row r="134" spans="1:8" x14ac:dyDescent="0.3">
      <c r="A134" t="s">
        <v>292</v>
      </c>
      <c r="B134" t="s">
        <v>293</v>
      </c>
      <c r="C134" t="s">
        <v>22</v>
      </c>
      <c r="D134" t="s">
        <v>15</v>
      </c>
      <c r="E134" s="1">
        <v>45746</v>
      </c>
      <c r="F134" s="1">
        <v>45761</v>
      </c>
      <c r="G134" t="s">
        <v>31</v>
      </c>
      <c r="H134">
        <v>0</v>
      </c>
    </row>
    <row r="135" spans="1:8" x14ac:dyDescent="0.3">
      <c r="A135" t="s">
        <v>294</v>
      </c>
      <c r="B135" t="s">
        <v>295</v>
      </c>
      <c r="C135" t="s">
        <v>28</v>
      </c>
      <c r="D135" t="s">
        <v>11</v>
      </c>
      <c r="E135" s="1">
        <v>45688</v>
      </c>
      <c r="F135" s="1">
        <v>45692</v>
      </c>
      <c r="G135" t="s">
        <v>16</v>
      </c>
      <c r="H135">
        <v>0</v>
      </c>
    </row>
    <row r="136" spans="1:8" x14ac:dyDescent="0.3">
      <c r="A136" t="s">
        <v>296</v>
      </c>
      <c r="B136" t="s">
        <v>297</v>
      </c>
      <c r="C136" t="s">
        <v>28</v>
      </c>
      <c r="D136" t="s">
        <v>65</v>
      </c>
      <c r="E136" s="1">
        <v>45726</v>
      </c>
      <c r="F136" s="1">
        <v>45739</v>
      </c>
      <c r="G136" t="s">
        <v>16</v>
      </c>
      <c r="H136">
        <v>0</v>
      </c>
    </row>
    <row r="137" spans="1:8" x14ac:dyDescent="0.3">
      <c r="A137" t="s">
        <v>298</v>
      </c>
      <c r="B137" t="s">
        <v>299</v>
      </c>
      <c r="C137" t="s">
        <v>10</v>
      </c>
      <c r="D137" t="s">
        <v>15</v>
      </c>
      <c r="E137" s="1">
        <v>45661</v>
      </c>
      <c r="F137" s="1">
        <v>45668</v>
      </c>
      <c r="G137" t="s">
        <v>110</v>
      </c>
      <c r="H137">
        <v>0</v>
      </c>
    </row>
    <row r="138" spans="1:8" x14ac:dyDescent="0.3">
      <c r="A138" t="s">
        <v>300</v>
      </c>
      <c r="B138" t="s">
        <v>301</v>
      </c>
      <c r="C138" t="s">
        <v>22</v>
      </c>
      <c r="D138" t="s">
        <v>15</v>
      </c>
      <c r="E138" s="1">
        <v>45748</v>
      </c>
      <c r="F138" s="1">
        <v>45761</v>
      </c>
      <c r="G138" t="s">
        <v>12</v>
      </c>
      <c r="H138">
        <v>0</v>
      </c>
    </row>
    <row r="139" spans="1:8" x14ac:dyDescent="0.3">
      <c r="A139" t="s">
        <v>302</v>
      </c>
      <c r="B139" t="s">
        <v>303</v>
      </c>
      <c r="C139" t="s">
        <v>28</v>
      </c>
      <c r="D139" t="s">
        <v>40</v>
      </c>
      <c r="E139" s="1">
        <v>45780</v>
      </c>
      <c r="F139" s="1">
        <v>45782</v>
      </c>
      <c r="G139" t="s">
        <v>16</v>
      </c>
      <c r="H139">
        <v>0</v>
      </c>
    </row>
    <row r="140" spans="1:8" x14ac:dyDescent="0.3">
      <c r="A140" t="s">
        <v>304</v>
      </c>
      <c r="B140" t="s">
        <v>305</v>
      </c>
      <c r="C140" t="s">
        <v>22</v>
      </c>
      <c r="D140" t="s">
        <v>65</v>
      </c>
      <c r="E140" s="1">
        <v>45708</v>
      </c>
      <c r="F140" s="1">
        <v>45709</v>
      </c>
      <c r="G140" t="s">
        <v>110</v>
      </c>
      <c r="H140">
        <v>0</v>
      </c>
    </row>
    <row r="141" spans="1:8" x14ac:dyDescent="0.3">
      <c r="A141" t="s">
        <v>306</v>
      </c>
      <c r="B141" t="s">
        <v>307</v>
      </c>
      <c r="C141" t="s">
        <v>22</v>
      </c>
      <c r="D141" t="s">
        <v>11</v>
      </c>
      <c r="E141" s="1">
        <v>45661</v>
      </c>
      <c r="F141" s="1">
        <v>45676</v>
      </c>
      <c r="G141" t="s">
        <v>12</v>
      </c>
      <c r="H141">
        <v>80</v>
      </c>
    </row>
    <row r="142" spans="1:8" x14ac:dyDescent="0.3">
      <c r="A142" t="s">
        <v>308</v>
      </c>
      <c r="B142" t="s">
        <v>309</v>
      </c>
      <c r="C142" t="s">
        <v>22</v>
      </c>
      <c r="D142" t="s">
        <v>11</v>
      </c>
      <c r="E142" s="1">
        <v>45708</v>
      </c>
      <c r="G142" t="s">
        <v>107</v>
      </c>
      <c r="H142">
        <v>0</v>
      </c>
    </row>
    <row r="143" spans="1:8" x14ac:dyDescent="0.3">
      <c r="A143" t="s">
        <v>310</v>
      </c>
      <c r="B143" t="s">
        <v>311</v>
      </c>
      <c r="C143" t="s">
        <v>19</v>
      </c>
      <c r="D143" t="s">
        <v>11</v>
      </c>
      <c r="E143" s="1">
        <v>45788</v>
      </c>
      <c r="F143" s="1">
        <v>45798</v>
      </c>
      <c r="G143" t="s">
        <v>107</v>
      </c>
      <c r="H143">
        <v>0</v>
      </c>
    </row>
    <row r="144" spans="1:8" x14ac:dyDescent="0.3">
      <c r="A144" t="s">
        <v>312</v>
      </c>
      <c r="B144" t="s">
        <v>313</v>
      </c>
      <c r="C144" t="s">
        <v>22</v>
      </c>
      <c r="D144" t="s">
        <v>11</v>
      </c>
      <c r="E144" s="1">
        <v>45788</v>
      </c>
      <c r="F144" s="1">
        <v>45789</v>
      </c>
      <c r="G144" t="s">
        <v>12</v>
      </c>
      <c r="H144">
        <v>0</v>
      </c>
    </row>
    <row r="145" spans="1:8" x14ac:dyDescent="0.3">
      <c r="A145" t="s">
        <v>314</v>
      </c>
      <c r="B145" t="s">
        <v>315</v>
      </c>
      <c r="C145" t="s">
        <v>113</v>
      </c>
      <c r="D145" t="s">
        <v>11</v>
      </c>
      <c r="E145" s="1">
        <v>45869</v>
      </c>
      <c r="F145" s="1">
        <v>45880</v>
      </c>
      <c r="G145" t="s">
        <v>110</v>
      </c>
      <c r="H145">
        <v>0</v>
      </c>
    </row>
    <row r="146" spans="1:8" x14ac:dyDescent="0.3">
      <c r="A146" t="s">
        <v>316</v>
      </c>
      <c r="B146" t="s">
        <v>317</v>
      </c>
      <c r="C146" t="s">
        <v>10</v>
      </c>
      <c r="D146" t="s">
        <v>65</v>
      </c>
      <c r="E146" s="1">
        <v>45771</v>
      </c>
      <c r="F146" s="1">
        <v>45776</v>
      </c>
      <c r="G146" t="s">
        <v>107</v>
      </c>
      <c r="H146">
        <v>0</v>
      </c>
    </row>
    <row r="147" spans="1:8" x14ac:dyDescent="0.3">
      <c r="A147" t="s">
        <v>318</v>
      </c>
      <c r="B147" t="s">
        <v>319</v>
      </c>
      <c r="C147" t="s">
        <v>113</v>
      </c>
      <c r="D147" t="s">
        <v>65</v>
      </c>
      <c r="E147" s="1">
        <v>45666</v>
      </c>
      <c r="F147" s="1">
        <v>45670</v>
      </c>
      <c r="G147" t="s">
        <v>12</v>
      </c>
      <c r="H147">
        <v>0</v>
      </c>
    </row>
    <row r="148" spans="1:8" x14ac:dyDescent="0.3">
      <c r="A148" t="s">
        <v>320</v>
      </c>
      <c r="B148" t="s">
        <v>321</v>
      </c>
      <c r="C148" t="s">
        <v>19</v>
      </c>
      <c r="D148" t="s">
        <v>40</v>
      </c>
      <c r="E148" s="1">
        <v>45829</v>
      </c>
      <c r="F148" s="1">
        <v>45842</v>
      </c>
      <c r="G148" t="s">
        <v>12</v>
      </c>
      <c r="H148">
        <v>268</v>
      </c>
    </row>
    <row r="149" spans="1:8" x14ac:dyDescent="0.3">
      <c r="A149" t="s">
        <v>322</v>
      </c>
      <c r="B149" t="s">
        <v>323</v>
      </c>
      <c r="C149" t="s">
        <v>19</v>
      </c>
      <c r="D149" t="s">
        <v>65</v>
      </c>
      <c r="E149" s="1">
        <v>45725</v>
      </c>
      <c r="F149" s="1">
        <v>45731</v>
      </c>
      <c r="G149" t="s">
        <v>110</v>
      </c>
      <c r="H149">
        <v>0</v>
      </c>
    </row>
    <row r="150" spans="1:8" x14ac:dyDescent="0.3">
      <c r="A150" t="s">
        <v>324</v>
      </c>
      <c r="B150" t="s">
        <v>325</v>
      </c>
      <c r="C150" t="s">
        <v>113</v>
      </c>
      <c r="D150" t="s">
        <v>65</v>
      </c>
      <c r="E150" s="1">
        <v>45786</v>
      </c>
      <c r="F150" s="1">
        <v>45795</v>
      </c>
      <c r="G150" t="s">
        <v>16</v>
      </c>
      <c r="H150">
        <v>0</v>
      </c>
    </row>
    <row r="151" spans="1:8" x14ac:dyDescent="0.3">
      <c r="A151" t="s">
        <v>326</v>
      </c>
      <c r="B151" t="s">
        <v>327</v>
      </c>
      <c r="C151" t="s">
        <v>113</v>
      </c>
      <c r="D151" t="s">
        <v>11</v>
      </c>
      <c r="E151" s="1">
        <v>45811</v>
      </c>
      <c r="G151" t="s">
        <v>31</v>
      </c>
      <c r="H151">
        <v>0</v>
      </c>
    </row>
    <row r="152" spans="1:8" x14ac:dyDescent="0.3">
      <c r="A152" t="s">
        <v>328</v>
      </c>
      <c r="B152" t="s">
        <v>329</v>
      </c>
      <c r="C152" t="s">
        <v>22</v>
      </c>
      <c r="D152" t="s">
        <v>15</v>
      </c>
      <c r="E152" s="1">
        <v>45924</v>
      </c>
      <c r="F152" s="1">
        <v>45936</v>
      </c>
      <c r="G152" t="s">
        <v>16</v>
      </c>
      <c r="H152">
        <v>0</v>
      </c>
    </row>
    <row r="153" spans="1:8" x14ac:dyDescent="0.3">
      <c r="A153" t="s">
        <v>330</v>
      </c>
      <c r="B153" t="s">
        <v>331</v>
      </c>
      <c r="C153" t="s">
        <v>113</v>
      </c>
      <c r="D153" t="s">
        <v>40</v>
      </c>
      <c r="E153" s="1">
        <v>45781</v>
      </c>
      <c r="F153" s="1">
        <v>45793</v>
      </c>
      <c r="G153" t="s">
        <v>12</v>
      </c>
      <c r="H153">
        <v>0</v>
      </c>
    </row>
    <row r="154" spans="1:8" x14ac:dyDescent="0.3">
      <c r="A154" t="s">
        <v>332</v>
      </c>
      <c r="B154" t="s">
        <v>333</v>
      </c>
      <c r="C154" t="s">
        <v>28</v>
      </c>
      <c r="D154" t="s">
        <v>40</v>
      </c>
      <c r="E154" s="1">
        <v>45866</v>
      </c>
      <c r="F154" s="1">
        <v>45866</v>
      </c>
      <c r="G154" t="s">
        <v>110</v>
      </c>
      <c r="H154">
        <v>0</v>
      </c>
    </row>
    <row r="155" spans="1:8" x14ac:dyDescent="0.3">
      <c r="A155" t="s">
        <v>334</v>
      </c>
      <c r="B155" t="s">
        <v>335</v>
      </c>
      <c r="C155" t="s">
        <v>22</v>
      </c>
      <c r="D155" t="s">
        <v>11</v>
      </c>
      <c r="E155" s="1">
        <v>45819</v>
      </c>
      <c r="G155" t="s">
        <v>31</v>
      </c>
      <c r="H155">
        <v>0</v>
      </c>
    </row>
    <row r="156" spans="1:8" x14ac:dyDescent="0.3">
      <c r="A156" t="s">
        <v>336</v>
      </c>
      <c r="B156" t="s">
        <v>337</v>
      </c>
      <c r="C156" t="s">
        <v>19</v>
      </c>
      <c r="D156" t="s">
        <v>40</v>
      </c>
      <c r="E156" s="1">
        <v>45716</v>
      </c>
      <c r="F156" s="1">
        <v>45726</v>
      </c>
      <c r="G156" t="s">
        <v>16</v>
      </c>
      <c r="H156">
        <v>0</v>
      </c>
    </row>
    <row r="157" spans="1:8" x14ac:dyDescent="0.3">
      <c r="A157" t="s">
        <v>338</v>
      </c>
      <c r="B157" t="s">
        <v>339</v>
      </c>
      <c r="C157" t="s">
        <v>28</v>
      </c>
      <c r="D157" t="s">
        <v>40</v>
      </c>
      <c r="E157" s="1">
        <v>45760</v>
      </c>
      <c r="F157" s="1">
        <v>45765</v>
      </c>
      <c r="G157" t="s">
        <v>107</v>
      </c>
      <c r="H157">
        <v>0</v>
      </c>
    </row>
    <row r="158" spans="1:8" x14ac:dyDescent="0.3">
      <c r="A158" t="s">
        <v>340</v>
      </c>
      <c r="B158" t="s">
        <v>341</v>
      </c>
      <c r="C158" t="s">
        <v>22</v>
      </c>
      <c r="D158" t="s">
        <v>11</v>
      </c>
      <c r="E158" s="1">
        <v>45668</v>
      </c>
      <c r="G158" t="s">
        <v>31</v>
      </c>
      <c r="H158">
        <v>0</v>
      </c>
    </row>
    <row r="159" spans="1:8" x14ac:dyDescent="0.3">
      <c r="A159" t="s">
        <v>342</v>
      </c>
      <c r="B159" t="s">
        <v>343</v>
      </c>
      <c r="C159" t="s">
        <v>113</v>
      </c>
      <c r="D159" t="s">
        <v>65</v>
      </c>
      <c r="E159" s="1">
        <v>45754</v>
      </c>
      <c r="F159" s="1">
        <v>45767</v>
      </c>
      <c r="G159" t="s">
        <v>16</v>
      </c>
      <c r="H159">
        <v>0</v>
      </c>
    </row>
    <row r="160" spans="1:8" x14ac:dyDescent="0.3">
      <c r="A160" t="s">
        <v>344</v>
      </c>
      <c r="B160" t="s">
        <v>345</v>
      </c>
      <c r="C160" t="s">
        <v>113</v>
      </c>
      <c r="D160" t="s">
        <v>65</v>
      </c>
      <c r="E160" s="1">
        <v>45698</v>
      </c>
      <c r="F160" s="1">
        <v>45708</v>
      </c>
      <c r="G160" t="s">
        <v>31</v>
      </c>
      <c r="H160">
        <v>0</v>
      </c>
    </row>
    <row r="161" spans="1:8" x14ac:dyDescent="0.3">
      <c r="A161" t="s">
        <v>346</v>
      </c>
      <c r="B161" t="s">
        <v>347</v>
      </c>
      <c r="C161" t="s">
        <v>19</v>
      </c>
      <c r="D161" t="s">
        <v>15</v>
      </c>
      <c r="E161" s="1">
        <v>45824</v>
      </c>
      <c r="F161" s="1">
        <v>45829</v>
      </c>
      <c r="G161" t="s">
        <v>12</v>
      </c>
      <c r="H161">
        <v>102</v>
      </c>
    </row>
    <row r="162" spans="1:8" x14ac:dyDescent="0.3">
      <c r="A162" t="s">
        <v>348</v>
      </c>
      <c r="B162" t="s">
        <v>349</v>
      </c>
      <c r="C162" t="s">
        <v>113</v>
      </c>
      <c r="D162" t="s">
        <v>11</v>
      </c>
      <c r="E162" s="1">
        <v>45854</v>
      </c>
      <c r="F162" s="1">
        <v>45865</v>
      </c>
      <c r="G162" t="s">
        <v>12</v>
      </c>
      <c r="H162">
        <v>0</v>
      </c>
    </row>
    <row r="163" spans="1:8" x14ac:dyDescent="0.3">
      <c r="A163" t="s">
        <v>350</v>
      </c>
      <c r="B163" t="s">
        <v>351</v>
      </c>
      <c r="C163" t="s">
        <v>22</v>
      </c>
      <c r="D163" t="s">
        <v>65</v>
      </c>
      <c r="E163" s="1">
        <v>45910</v>
      </c>
      <c r="F163" s="1">
        <v>45911</v>
      </c>
      <c r="G163" t="s">
        <v>12</v>
      </c>
      <c r="H163">
        <v>0</v>
      </c>
    </row>
    <row r="164" spans="1:8" x14ac:dyDescent="0.3">
      <c r="A164" t="s">
        <v>352</v>
      </c>
      <c r="B164" t="s">
        <v>353</v>
      </c>
      <c r="C164" t="s">
        <v>22</v>
      </c>
      <c r="D164" t="s">
        <v>40</v>
      </c>
      <c r="E164" s="1">
        <v>45659</v>
      </c>
      <c r="F164" s="1">
        <v>45662</v>
      </c>
      <c r="G164" t="s">
        <v>31</v>
      </c>
      <c r="H164">
        <v>0</v>
      </c>
    </row>
    <row r="165" spans="1:8" x14ac:dyDescent="0.3">
      <c r="A165" t="s">
        <v>354</v>
      </c>
      <c r="B165" t="s">
        <v>355</v>
      </c>
      <c r="C165" t="s">
        <v>10</v>
      </c>
      <c r="D165" t="s">
        <v>65</v>
      </c>
      <c r="E165" s="1">
        <v>45846</v>
      </c>
      <c r="G165" t="s">
        <v>12</v>
      </c>
      <c r="H165">
        <v>0</v>
      </c>
    </row>
    <row r="166" spans="1:8" x14ac:dyDescent="0.3">
      <c r="A166" t="s">
        <v>356</v>
      </c>
      <c r="B166" t="s">
        <v>357</v>
      </c>
      <c r="C166" t="s">
        <v>10</v>
      </c>
      <c r="D166" t="s">
        <v>11</v>
      </c>
      <c r="E166" s="1">
        <v>45670</v>
      </c>
      <c r="F166" s="1">
        <v>45682</v>
      </c>
      <c r="G166" t="s">
        <v>12</v>
      </c>
      <c r="H166">
        <v>239</v>
      </c>
    </row>
    <row r="167" spans="1:8" x14ac:dyDescent="0.3">
      <c r="A167" t="s">
        <v>358</v>
      </c>
      <c r="B167" t="s">
        <v>359</v>
      </c>
      <c r="C167" t="s">
        <v>28</v>
      </c>
      <c r="D167" t="s">
        <v>15</v>
      </c>
      <c r="E167" s="1">
        <v>45733</v>
      </c>
      <c r="F167" s="1">
        <v>45733</v>
      </c>
      <c r="G167" t="s">
        <v>16</v>
      </c>
      <c r="H167">
        <v>0</v>
      </c>
    </row>
    <row r="168" spans="1:8" x14ac:dyDescent="0.3">
      <c r="A168" t="s">
        <v>360</v>
      </c>
      <c r="B168" t="s">
        <v>361</v>
      </c>
      <c r="C168" t="s">
        <v>10</v>
      </c>
      <c r="D168" t="s">
        <v>65</v>
      </c>
      <c r="E168" s="1">
        <v>45881</v>
      </c>
      <c r="F168" s="1">
        <v>45886</v>
      </c>
      <c r="G168" t="s">
        <v>107</v>
      </c>
      <c r="H168">
        <v>0</v>
      </c>
    </row>
    <row r="169" spans="1:8" x14ac:dyDescent="0.3">
      <c r="A169" t="s">
        <v>362</v>
      </c>
      <c r="B169" t="s">
        <v>363</v>
      </c>
      <c r="C169" t="s">
        <v>28</v>
      </c>
      <c r="D169" t="s">
        <v>11</v>
      </c>
      <c r="E169" s="1">
        <v>45801</v>
      </c>
      <c r="F169" s="1">
        <v>45803</v>
      </c>
      <c r="G169" t="s">
        <v>107</v>
      </c>
      <c r="H169">
        <v>0</v>
      </c>
    </row>
    <row r="170" spans="1:8" x14ac:dyDescent="0.3">
      <c r="A170" t="s">
        <v>364</v>
      </c>
      <c r="B170" t="s">
        <v>365</v>
      </c>
      <c r="C170" t="s">
        <v>19</v>
      </c>
      <c r="D170" t="s">
        <v>15</v>
      </c>
      <c r="E170" s="1">
        <v>45947</v>
      </c>
      <c r="G170" t="s">
        <v>16</v>
      </c>
      <c r="H170">
        <v>0</v>
      </c>
    </row>
    <row r="171" spans="1:8" x14ac:dyDescent="0.3">
      <c r="A171" t="s">
        <v>366</v>
      </c>
      <c r="B171" t="s">
        <v>367</v>
      </c>
      <c r="C171" t="s">
        <v>10</v>
      </c>
      <c r="D171" t="s">
        <v>65</v>
      </c>
      <c r="E171" s="1">
        <v>45700</v>
      </c>
      <c r="F171" s="1">
        <v>45715</v>
      </c>
      <c r="G171" t="s">
        <v>107</v>
      </c>
      <c r="H171">
        <v>0</v>
      </c>
    </row>
    <row r="172" spans="1:8" x14ac:dyDescent="0.3">
      <c r="A172" t="s">
        <v>368</v>
      </c>
      <c r="B172" t="s">
        <v>369</v>
      </c>
      <c r="C172" t="s">
        <v>113</v>
      </c>
      <c r="D172" t="s">
        <v>15</v>
      </c>
      <c r="E172" s="1">
        <v>45692</v>
      </c>
      <c r="F172" s="1">
        <v>45692</v>
      </c>
      <c r="G172" t="s">
        <v>110</v>
      </c>
      <c r="H172">
        <v>0</v>
      </c>
    </row>
    <row r="173" spans="1:8" x14ac:dyDescent="0.3">
      <c r="A173" t="s">
        <v>370</v>
      </c>
      <c r="B173" t="s">
        <v>371</v>
      </c>
      <c r="C173" t="s">
        <v>19</v>
      </c>
      <c r="D173" t="s">
        <v>11</v>
      </c>
      <c r="E173" s="1">
        <v>45919</v>
      </c>
      <c r="G173" t="s">
        <v>16</v>
      </c>
      <c r="H173">
        <v>0</v>
      </c>
    </row>
    <row r="174" spans="1:8" x14ac:dyDescent="0.3">
      <c r="A174" t="s">
        <v>372</v>
      </c>
      <c r="B174" t="s">
        <v>373</v>
      </c>
      <c r="C174" t="s">
        <v>113</v>
      </c>
      <c r="D174" t="s">
        <v>15</v>
      </c>
      <c r="E174" s="1">
        <v>45862</v>
      </c>
      <c r="F174" s="1">
        <v>45862</v>
      </c>
      <c r="G174" t="s">
        <v>16</v>
      </c>
      <c r="H174">
        <v>0</v>
      </c>
    </row>
    <row r="175" spans="1:8" x14ac:dyDescent="0.3">
      <c r="A175" t="s">
        <v>374</v>
      </c>
      <c r="B175" t="s">
        <v>375</v>
      </c>
      <c r="C175" t="s">
        <v>22</v>
      </c>
      <c r="D175" t="s">
        <v>65</v>
      </c>
      <c r="E175" s="1">
        <v>45759</v>
      </c>
      <c r="F175" s="1">
        <v>45772</v>
      </c>
      <c r="G175" t="s">
        <v>107</v>
      </c>
      <c r="H175">
        <v>0</v>
      </c>
    </row>
    <row r="176" spans="1:8" x14ac:dyDescent="0.3">
      <c r="A176" t="s">
        <v>376</v>
      </c>
      <c r="B176" t="s">
        <v>377</v>
      </c>
      <c r="C176" t="s">
        <v>22</v>
      </c>
      <c r="D176" t="s">
        <v>11</v>
      </c>
      <c r="E176" s="1">
        <v>45822</v>
      </c>
      <c r="G176" t="s">
        <v>31</v>
      </c>
      <c r="H176">
        <v>0</v>
      </c>
    </row>
    <row r="177" spans="1:8" x14ac:dyDescent="0.3">
      <c r="A177" t="s">
        <v>378</v>
      </c>
      <c r="B177" t="s">
        <v>379</v>
      </c>
      <c r="C177" t="s">
        <v>19</v>
      </c>
      <c r="D177" t="s">
        <v>15</v>
      </c>
      <c r="E177" s="1">
        <v>45844</v>
      </c>
      <c r="F177" s="1">
        <v>45857</v>
      </c>
      <c r="G177" t="s">
        <v>16</v>
      </c>
      <c r="H177">
        <v>0</v>
      </c>
    </row>
    <row r="178" spans="1:8" x14ac:dyDescent="0.3">
      <c r="A178" t="s">
        <v>380</v>
      </c>
      <c r="B178" t="s">
        <v>381</v>
      </c>
      <c r="C178" t="s">
        <v>113</v>
      </c>
      <c r="D178" t="s">
        <v>15</v>
      </c>
      <c r="E178" s="1">
        <v>45833</v>
      </c>
      <c r="G178" t="s">
        <v>12</v>
      </c>
      <c r="H178">
        <v>0</v>
      </c>
    </row>
    <row r="179" spans="1:8" x14ac:dyDescent="0.3">
      <c r="A179" t="s">
        <v>382</v>
      </c>
      <c r="B179" t="s">
        <v>383</v>
      </c>
      <c r="C179" t="s">
        <v>19</v>
      </c>
      <c r="D179" t="s">
        <v>65</v>
      </c>
      <c r="E179" s="1">
        <v>45700</v>
      </c>
      <c r="G179" t="s">
        <v>16</v>
      </c>
      <c r="H179">
        <v>0</v>
      </c>
    </row>
    <row r="180" spans="1:8" x14ac:dyDescent="0.3">
      <c r="A180" t="s">
        <v>384</v>
      </c>
      <c r="B180" t="s">
        <v>385</v>
      </c>
      <c r="C180" t="s">
        <v>113</v>
      </c>
      <c r="D180" t="s">
        <v>40</v>
      </c>
      <c r="E180" s="1">
        <v>45922</v>
      </c>
      <c r="F180" s="1">
        <v>45927</v>
      </c>
      <c r="G180" t="s">
        <v>107</v>
      </c>
      <c r="H180">
        <v>0</v>
      </c>
    </row>
    <row r="181" spans="1:8" x14ac:dyDescent="0.3">
      <c r="A181" t="s">
        <v>386</v>
      </c>
      <c r="B181" t="s">
        <v>387</v>
      </c>
      <c r="C181" t="s">
        <v>28</v>
      </c>
      <c r="D181" t="s">
        <v>15</v>
      </c>
      <c r="E181" s="1">
        <v>45921</v>
      </c>
      <c r="G181" t="s">
        <v>31</v>
      </c>
      <c r="H181">
        <v>0</v>
      </c>
    </row>
    <row r="182" spans="1:8" x14ac:dyDescent="0.3">
      <c r="A182" t="s">
        <v>388</v>
      </c>
      <c r="B182" t="s">
        <v>389</v>
      </c>
      <c r="C182" t="s">
        <v>22</v>
      </c>
      <c r="D182" t="s">
        <v>65</v>
      </c>
      <c r="E182" s="1">
        <v>45717</v>
      </c>
      <c r="G182" t="s">
        <v>107</v>
      </c>
      <c r="H182">
        <v>0</v>
      </c>
    </row>
    <row r="183" spans="1:8" x14ac:dyDescent="0.3">
      <c r="A183" t="s">
        <v>390</v>
      </c>
      <c r="B183" t="s">
        <v>391</v>
      </c>
      <c r="C183" t="s">
        <v>22</v>
      </c>
      <c r="D183" t="s">
        <v>11</v>
      </c>
      <c r="E183" s="1">
        <v>45832</v>
      </c>
      <c r="F183" s="1">
        <v>45834</v>
      </c>
      <c r="G183" t="s">
        <v>107</v>
      </c>
      <c r="H183">
        <v>0</v>
      </c>
    </row>
    <row r="184" spans="1:8" x14ac:dyDescent="0.3">
      <c r="A184" t="s">
        <v>392</v>
      </c>
      <c r="B184" t="s">
        <v>393</v>
      </c>
      <c r="C184" t="s">
        <v>28</v>
      </c>
      <c r="D184" t="s">
        <v>15</v>
      </c>
      <c r="E184" s="1">
        <v>45949</v>
      </c>
      <c r="G184" t="s">
        <v>107</v>
      </c>
      <c r="H184">
        <v>0</v>
      </c>
    </row>
    <row r="185" spans="1:8" x14ac:dyDescent="0.3">
      <c r="A185" t="s">
        <v>394</v>
      </c>
      <c r="B185" t="s">
        <v>395</v>
      </c>
      <c r="C185" t="s">
        <v>22</v>
      </c>
      <c r="D185" t="s">
        <v>15</v>
      </c>
      <c r="E185" s="1">
        <v>45735</v>
      </c>
      <c r="F185" s="1">
        <v>45750</v>
      </c>
      <c r="G185" t="s">
        <v>31</v>
      </c>
      <c r="H185">
        <v>0</v>
      </c>
    </row>
    <row r="186" spans="1:8" x14ac:dyDescent="0.3">
      <c r="A186" t="s">
        <v>396</v>
      </c>
      <c r="B186" t="s">
        <v>397</v>
      </c>
      <c r="C186" t="s">
        <v>113</v>
      </c>
      <c r="D186" t="s">
        <v>11</v>
      </c>
      <c r="E186" s="1">
        <v>45848</v>
      </c>
      <c r="F186" s="1">
        <v>45863</v>
      </c>
      <c r="G186" t="s">
        <v>110</v>
      </c>
      <c r="H186">
        <v>0</v>
      </c>
    </row>
    <row r="187" spans="1:8" x14ac:dyDescent="0.3">
      <c r="A187" t="s">
        <v>398</v>
      </c>
      <c r="B187" t="s">
        <v>399</v>
      </c>
      <c r="C187" t="s">
        <v>22</v>
      </c>
      <c r="D187" t="s">
        <v>15</v>
      </c>
      <c r="E187" s="1">
        <v>45909</v>
      </c>
      <c r="F187" s="1">
        <v>45915</v>
      </c>
      <c r="G187" t="s">
        <v>12</v>
      </c>
      <c r="H187">
        <v>145</v>
      </c>
    </row>
    <row r="188" spans="1:8" x14ac:dyDescent="0.3">
      <c r="A188" t="s">
        <v>400</v>
      </c>
      <c r="B188" t="s">
        <v>401</v>
      </c>
      <c r="C188" t="s">
        <v>10</v>
      </c>
      <c r="D188" t="s">
        <v>65</v>
      </c>
      <c r="E188" s="1">
        <v>45859</v>
      </c>
      <c r="F188" s="1">
        <v>45860</v>
      </c>
      <c r="G188" t="s">
        <v>107</v>
      </c>
      <c r="H188">
        <v>0</v>
      </c>
    </row>
    <row r="189" spans="1:8" x14ac:dyDescent="0.3">
      <c r="A189" t="s">
        <v>402</v>
      </c>
      <c r="B189" t="s">
        <v>403</v>
      </c>
      <c r="C189" t="s">
        <v>28</v>
      </c>
      <c r="D189" t="s">
        <v>65</v>
      </c>
      <c r="E189" s="1">
        <v>45789</v>
      </c>
      <c r="F189" s="1">
        <v>45790</v>
      </c>
      <c r="G189" t="s">
        <v>31</v>
      </c>
      <c r="H189">
        <v>0</v>
      </c>
    </row>
    <row r="190" spans="1:8" x14ac:dyDescent="0.3">
      <c r="A190" t="s">
        <v>404</v>
      </c>
      <c r="B190" t="s">
        <v>405</v>
      </c>
      <c r="C190" t="s">
        <v>28</v>
      </c>
      <c r="D190" t="s">
        <v>15</v>
      </c>
      <c r="E190" s="1">
        <v>45764</v>
      </c>
      <c r="G190" t="s">
        <v>107</v>
      </c>
      <c r="H190">
        <v>0</v>
      </c>
    </row>
    <row r="191" spans="1:8" x14ac:dyDescent="0.3">
      <c r="A191" t="s">
        <v>406</v>
      </c>
      <c r="B191" t="s">
        <v>407</v>
      </c>
      <c r="C191" t="s">
        <v>10</v>
      </c>
      <c r="D191" t="s">
        <v>11</v>
      </c>
      <c r="E191" s="1">
        <v>45859</v>
      </c>
      <c r="F191" s="1">
        <v>45871</v>
      </c>
      <c r="G191" t="s">
        <v>31</v>
      </c>
      <c r="H191">
        <v>0</v>
      </c>
    </row>
    <row r="192" spans="1:8" x14ac:dyDescent="0.3">
      <c r="A192" t="s">
        <v>408</v>
      </c>
      <c r="B192" t="s">
        <v>409</v>
      </c>
      <c r="C192" t="s">
        <v>28</v>
      </c>
      <c r="D192" t="s">
        <v>65</v>
      </c>
      <c r="E192" s="1">
        <v>45881</v>
      </c>
      <c r="F192" s="1">
        <v>45884</v>
      </c>
      <c r="G192" t="s">
        <v>107</v>
      </c>
      <c r="H192">
        <v>0</v>
      </c>
    </row>
    <row r="193" spans="1:8" x14ac:dyDescent="0.3">
      <c r="A193" t="s">
        <v>410</v>
      </c>
      <c r="B193" t="s">
        <v>411</v>
      </c>
      <c r="C193" t="s">
        <v>19</v>
      </c>
      <c r="D193" t="s">
        <v>15</v>
      </c>
      <c r="E193" s="1">
        <v>45712</v>
      </c>
      <c r="G193" t="s">
        <v>31</v>
      </c>
      <c r="H193">
        <v>0</v>
      </c>
    </row>
    <row r="194" spans="1:8" x14ac:dyDescent="0.3">
      <c r="A194" t="s">
        <v>412</v>
      </c>
      <c r="B194" t="s">
        <v>413</v>
      </c>
      <c r="C194" t="s">
        <v>19</v>
      </c>
      <c r="D194" t="s">
        <v>65</v>
      </c>
      <c r="E194" s="1">
        <v>45895</v>
      </c>
      <c r="F194" s="1">
        <v>45908</v>
      </c>
      <c r="G194" t="s">
        <v>107</v>
      </c>
      <c r="H194">
        <v>0</v>
      </c>
    </row>
    <row r="195" spans="1:8" x14ac:dyDescent="0.3">
      <c r="A195" t="s">
        <v>414</v>
      </c>
      <c r="B195" t="s">
        <v>415</v>
      </c>
      <c r="C195" t="s">
        <v>10</v>
      </c>
      <c r="D195" t="s">
        <v>15</v>
      </c>
      <c r="E195" s="1">
        <v>45874</v>
      </c>
      <c r="F195" s="1">
        <v>45881</v>
      </c>
      <c r="G195" t="s">
        <v>12</v>
      </c>
      <c r="H195">
        <v>0</v>
      </c>
    </row>
    <row r="196" spans="1:8" x14ac:dyDescent="0.3">
      <c r="A196" t="s">
        <v>416</v>
      </c>
      <c r="B196" t="s">
        <v>417</v>
      </c>
      <c r="C196" t="s">
        <v>22</v>
      </c>
      <c r="D196" t="s">
        <v>15</v>
      </c>
      <c r="E196" s="1">
        <v>45661</v>
      </c>
      <c r="F196" s="1">
        <v>45671</v>
      </c>
      <c r="G196" t="s">
        <v>16</v>
      </c>
      <c r="H196">
        <v>0</v>
      </c>
    </row>
    <row r="197" spans="1:8" x14ac:dyDescent="0.3">
      <c r="A197" t="s">
        <v>418</v>
      </c>
      <c r="B197" t="s">
        <v>419</v>
      </c>
      <c r="C197" t="s">
        <v>113</v>
      </c>
      <c r="D197" t="s">
        <v>65</v>
      </c>
      <c r="E197" s="1">
        <v>45897</v>
      </c>
      <c r="F197" s="1">
        <v>45910</v>
      </c>
      <c r="G197" t="s">
        <v>16</v>
      </c>
      <c r="H197">
        <v>0</v>
      </c>
    </row>
    <row r="198" spans="1:8" x14ac:dyDescent="0.3">
      <c r="A198" t="s">
        <v>420</v>
      </c>
      <c r="B198" t="s">
        <v>421</v>
      </c>
      <c r="C198" t="s">
        <v>28</v>
      </c>
      <c r="D198" t="s">
        <v>65</v>
      </c>
      <c r="E198" s="1">
        <v>45758</v>
      </c>
      <c r="F198" s="1">
        <v>45771</v>
      </c>
      <c r="G198" t="s">
        <v>107</v>
      </c>
      <c r="H198">
        <v>0</v>
      </c>
    </row>
    <row r="199" spans="1:8" x14ac:dyDescent="0.3">
      <c r="A199" t="s">
        <v>422</v>
      </c>
      <c r="B199" t="s">
        <v>423</v>
      </c>
      <c r="C199" t="s">
        <v>10</v>
      </c>
      <c r="D199" t="s">
        <v>15</v>
      </c>
      <c r="E199" s="1">
        <v>45736</v>
      </c>
      <c r="F199" s="1">
        <v>45748</v>
      </c>
      <c r="G199" t="s">
        <v>110</v>
      </c>
      <c r="H199">
        <v>0</v>
      </c>
    </row>
    <row r="200" spans="1:8" x14ac:dyDescent="0.3">
      <c r="A200" t="s">
        <v>424</v>
      </c>
      <c r="B200" t="s">
        <v>425</v>
      </c>
      <c r="C200" t="s">
        <v>19</v>
      </c>
      <c r="D200" t="s">
        <v>65</v>
      </c>
      <c r="E200" s="1">
        <v>45913</v>
      </c>
      <c r="F200" s="1">
        <v>45920</v>
      </c>
      <c r="G200" t="s">
        <v>110</v>
      </c>
      <c r="H200">
        <v>0</v>
      </c>
    </row>
    <row r="201" spans="1:8" x14ac:dyDescent="0.3">
      <c r="A201" t="s">
        <v>426</v>
      </c>
      <c r="B201" t="s">
        <v>427</v>
      </c>
      <c r="C201" t="s">
        <v>28</v>
      </c>
      <c r="D201" t="s">
        <v>11</v>
      </c>
      <c r="E201" s="1">
        <v>45829</v>
      </c>
      <c r="F201" s="1">
        <v>45830</v>
      </c>
      <c r="G201" t="s">
        <v>16</v>
      </c>
      <c r="H201">
        <v>0</v>
      </c>
    </row>
    <row r="202" spans="1:8" x14ac:dyDescent="0.3">
      <c r="A202" t="s">
        <v>428</v>
      </c>
      <c r="B202" t="s">
        <v>429</v>
      </c>
      <c r="C202" t="s">
        <v>10</v>
      </c>
      <c r="D202" t="s">
        <v>11</v>
      </c>
      <c r="E202" s="1">
        <v>45897</v>
      </c>
      <c r="F202" s="1">
        <v>45909</v>
      </c>
      <c r="G202" t="s">
        <v>107</v>
      </c>
      <c r="H202">
        <v>0</v>
      </c>
    </row>
    <row r="203" spans="1:8" x14ac:dyDescent="0.3">
      <c r="A203" t="s">
        <v>430</v>
      </c>
      <c r="B203" t="s">
        <v>431</v>
      </c>
      <c r="C203" t="s">
        <v>10</v>
      </c>
      <c r="D203" t="s">
        <v>65</v>
      </c>
      <c r="E203" s="1">
        <v>45938</v>
      </c>
      <c r="F203" s="1">
        <v>45948</v>
      </c>
      <c r="G203" t="s">
        <v>110</v>
      </c>
      <c r="H203">
        <v>0</v>
      </c>
    </row>
    <row r="204" spans="1:8" x14ac:dyDescent="0.3">
      <c r="A204" t="s">
        <v>432</v>
      </c>
      <c r="B204" t="s">
        <v>433</v>
      </c>
      <c r="C204" t="s">
        <v>22</v>
      </c>
      <c r="D204" t="s">
        <v>11</v>
      </c>
      <c r="E204" s="1">
        <v>45920</v>
      </c>
      <c r="F204" s="1">
        <v>45922</v>
      </c>
      <c r="G204" t="s">
        <v>16</v>
      </c>
      <c r="H204">
        <v>0</v>
      </c>
    </row>
    <row r="205" spans="1:8" x14ac:dyDescent="0.3">
      <c r="A205" t="s">
        <v>434</v>
      </c>
      <c r="B205" t="s">
        <v>435</v>
      </c>
      <c r="C205" t="s">
        <v>19</v>
      </c>
      <c r="D205" t="s">
        <v>11</v>
      </c>
      <c r="E205" s="1">
        <v>45881</v>
      </c>
      <c r="F205" s="1">
        <v>45882</v>
      </c>
      <c r="G205" t="s">
        <v>107</v>
      </c>
      <c r="H205">
        <v>0</v>
      </c>
    </row>
    <row r="206" spans="1:8" x14ac:dyDescent="0.3">
      <c r="A206" t="s">
        <v>436</v>
      </c>
      <c r="B206" t="s">
        <v>437</v>
      </c>
      <c r="C206" t="s">
        <v>28</v>
      </c>
      <c r="D206" t="s">
        <v>65</v>
      </c>
      <c r="E206" s="1">
        <v>45828</v>
      </c>
      <c r="F206" s="1">
        <v>45833</v>
      </c>
      <c r="G206" t="s">
        <v>107</v>
      </c>
      <c r="H206">
        <v>0</v>
      </c>
    </row>
    <row r="207" spans="1:8" x14ac:dyDescent="0.3">
      <c r="A207" t="s">
        <v>438</v>
      </c>
      <c r="B207" t="s">
        <v>439</v>
      </c>
      <c r="C207" t="s">
        <v>28</v>
      </c>
      <c r="D207" t="s">
        <v>15</v>
      </c>
      <c r="E207" s="1">
        <v>45883</v>
      </c>
      <c r="F207" s="1">
        <v>45896</v>
      </c>
      <c r="G207" t="s">
        <v>16</v>
      </c>
      <c r="H207">
        <v>0</v>
      </c>
    </row>
    <row r="208" spans="1:8" x14ac:dyDescent="0.3">
      <c r="A208" t="s">
        <v>440</v>
      </c>
      <c r="B208" t="s">
        <v>441</v>
      </c>
      <c r="C208" t="s">
        <v>19</v>
      </c>
      <c r="D208" t="s">
        <v>11</v>
      </c>
      <c r="E208" s="1">
        <v>45757</v>
      </c>
      <c r="F208" s="1">
        <v>45769</v>
      </c>
      <c r="G208" t="s">
        <v>16</v>
      </c>
      <c r="H208">
        <v>0</v>
      </c>
    </row>
    <row r="209" spans="1:8" x14ac:dyDescent="0.3">
      <c r="A209" t="s">
        <v>442</v>
      </c>
      <c r="B209" t="s">
        <v>443</v>
      </c>
      <c r="C209" t="s">
        <v>28</v>
      </c>
      <c r="D209" t="s">
        <v>11</v>
      </c>
      <c r="E209" s="1">
        <v>45818</v>
      </c>
      <c r="F209" s="1">
        <v>45823</v>
      </c>
      <c r="G209" t="s">
        <v>16</v>
      </c>
      <c r="H209">
        <v>0</v>
      </c>
    </row>
    <row r="210" spans="1:8" x14ac:dyDescent="0.3">
      <c r="A210" t="s">
        <v>444</v>
      </c>
      <c r="B210" t="s">
        <v>445</v>
      </c>
      <c r="C210" t="s">
        <v>22</v>
      </c>
      <c r="D210" t="s">
        <v>11</v>
      </c>
      <c r="E210" s="1">
        <v>45928</v>
      </c>
      <c r="F210" s="1">
        <v>45932</v>
      </c>
      <c r="G210" t="s">
        <v>107</v>
      </c>
      <c r="H210">
        <v>0</v>
      </c>
    </row>
    <row r="211" spans="1:8" x14ac:dyDescent="0.3">
      <c r="A211" t="s">
        <v>446</v>
      </c>
      <c r="B211" t="s">
        <v>447</v>
      </c>
      <c r="C211" t="s">
        <v>10</v>
      </c>
      <c r="D211" t="s">
        <v>40</v>
      </c>
      <c r="E211" s="1">
        <v>45918</v>
      </c>
      <c r="F211" s="1">
        <v>45929</v>
      </c>
      <c r="G211" t="s">
        <v>110</v>
      </c>
      <c r="H211">
        <v>0</v>
      </c>
    </row>
    <row r="212" spans="1:8" x14ac:dyDescent="0.3">
      <c r="A212" t="s">
        <v>448</v>
      </c>
      <c r="B212" t="s">
        <v>449</v>
      </c>
      <c r="C212" t="s">
        <v>113</v>
      </c>
      <c r="D212" t="s">
        <v>15</v>
      </c>
      <c r="E212" s="1">
        <v>45894</v>
      </c>
      <c r="F212" s="1">
        <v>45894</v>
      </c>
      <c r="G212" t="s">
        <v>107</v>
      </c>
      <c r="H212">
        <v>0</v>
      </c>
    </row>
    <row r="213" spans="1:8" x14ac:dyDescent="0.3">
      <c r="A213" t="s">
        <v>450</v>
      </c>
      <c r="B213" t="s">
        <v>451</v>
      </c>
      <c r="C213" t="s">
        <v>22</v>
      </c>
      <c r="D213" t="s">
        <v>15</v>
      </c>
      <c r="E213" s="1">
        <v>45894</v>
      </c>
      <c r="G213" t="s">
        <v>110</v>
      </c>
      <c r="H213">
        <v>0</v>
      </c>
    </row>
    <row r="214" spans="1:8" x14ac:dyDescent="0.3">
      <c r="A214" t="s">
        <v>452</v>
      </c>
      <c r="B214" t="s">
        <v>453</v>
      </c>
      <c r="C214" t="s">
        <v>28</v>
      </c>
      <c r="D214" t="s">
        <v>65</v>
      </c>
      <c r="E214" s="1">
        <v>45928</v>
      </c>
      <c r="F214" s="1">
        <v>45935</v>
      </c>
      <c r="G214" t="s">
        <v>31</v>
      </c>
      <c r="H214">
        <v>0</v>
      </c>
    </row>
    <row r="215" spans="1:8" x14ac:dyDescent="0.3">
      <c r="A215" t="s">
        <v>454</v>
      </c>
      <c r="B215" t="s">
        <v>455</v>
      </c>
      <c r="C215" t="s">
        <v>113</v>
      </c>
      <c r="D215" t="s">
        <v>40</v>
      </c>
      <c r="E215" s="1">
        <v>45764</v>
      </c>
      <c r="F215" s="1">
        <v>45766</v>
      </c>
      <c r="G215" t="s">
        <v>16</v>
      </c>
      <c r="H215">
        <v>0</v>
      </c>
    </row>
    <row r="216" spans="1:8" x14ac:dyDescent="0.3">
      <c r="A216" t="s">
        <v>456</v>
      </c>
      <c r="B216" t="s">
        <v>457</v>
      </c>
      <c r="C216" t="s">
        <v>19</v>
      </c>
      <c r="D216" t="s">
        <v>11</v>
      </c>
      <c r="E216" s="1">
        <v>45925</v>
      </c>
      <c r="F216" s="1">
        <v>45930</v>
      </c>
      <c r="G216" t="s">
        <v>110</v>
      </c>
      <c r="H216">
        <v>0</v>
      </c>
    </row>
    <row r="217" spans="1:8" x14ac:dyDescent="0.3">
      <c r="A217" t="s">
        <v>458</v>
      </c>
      <c r="B217" t="s">
        <v>459</v>
      </c>
      <c r="C217" t="s">
        <v>113</v>
      </c>
      <c r="D217" t="s">
        <v>11</v>
      </c>
      <c r="E217" s="1">
        <v>45779</v>
      </c>
      <c r="F217" s="1">
        <v>45781</v>
      </c>
      <c r="G217" t="s">
        <v>12</v>
      </c>
      <c r="H217">
        <v>0</v>
      </c>
    </row>
    <row r="218" spans="1:8" x14ac:dyDescent="0.3">
      <c r="A218" t="s">
        <v>460</v>
      </c>
      <c r="B218" t="s">
        <v>461</v>
      </c>
      <c r="C218" t="s">
        <v>113</v>
      </c>
      <c r="D218" t="s">
        <v>11</v>
      </c>
      <c r="E218" s="1">
        <v>45950</v>
      </c>
      <c r="G218" t="s">
        <v>110</v>
      </c>
      <c r="H218">
        <v>0</v>
      </c>
    </row>
    <row r="219" spans="1:8" x14ac:dyDescent="0.3">
      <c r="A219" t="s">
        <v>462</v>
      </c>
      <c r="B219" t="s">
        <v>463</v>
      </c>
      <c r="C219" t="s">
        <v>22</v>
      </c>
      <c r="D219" t="s">
        <v>65</v>
      </c>
      <c r="E219" s="1">
        <v>45885</v>
      </c>
      <c r="F219" s="1">
        <v>45893</v>
      </c>
      <c r="G219" t="s">
        <v>107</v>
      </c>
      <c r="H219">
        <v>0</v>
      </c>
    </row>
    <row r="220" spans="1:8" x14ac:dyDescent="0.3">
      <c r="A220" t="s">
        <v>464</v>
      </c>
      <c r="B220" t="s">
        <v>465</v>
      </c>
      <c r="C220" t="s">
        <v>19</v>
      </c>
      <c r="D220" t="s">
        <v>40</v>
      </c>
      <c r="E220" s="1">
        <v>45805</v>
      </c>
      <c r="F220" s="1">
        <v>45814</v>
      </c>
      <c r="G220" t="s">
        <v>31</v>
      </c>
      <c r="H220">
        <v>0</v>
      </c>
    </row>
    <row r="221" spans="1:8" x14ac:dyDescent="0.3">
      <c r="A221" t="s">
        <v>466</v>
      </c>
      <c r="B221" t="s">
        <v>467</v>
      </c>
      <c r="C221" t="s">
        <v>28</v>
      </c>
      <c r="D221" t="s">
        <v>65</v>
      </c>
      <c r="E221" s="1">
        <v>45685</v>
      </c>
      <c r="G221" t="s">
        <v>12</v>
      </c>
      <c r="H221">
        <v>165</v>
      </c>
    </row>
    <row r="222" spans="1:8" x14ac:dyDescent="0.3">
      <c r="A222" t="s">
        <v>468</v>
      </c>
      <c r="B222" t="s">
        <v>469</v>
      </c>
      <c r="C222" t="s">
        <v>10</v>
      </c>
      <c r="D222" t="s">
        <v>40</v>
      </c>
      <c r="E222" s="1">
        <v>45788</v>
      </c>
      <c r="F222" s="1">
        <v>45797</v>
      </c>
      <c r="G222" t="s">
        <v>110</v>
      </c>
      <c r="H222">
        <v>0</v>
      </c>
    </row>
    <row r="223" spans="1:8" x14ac:dyDescent="0.3">
      <c r="A223" t="s">
        <v>470</v>
      </c>
      <c r="B223" t="s">
        <v>471</v>
      </c>
      <c r="C223" t="s">
        <v>113</v>
      </c>
      <c r="D223" t="s">
        <v>15</v>
      </c>
      <c r="E223" s="1">
        <v>45699</v>
      </c>
      <c r="F223" s="1">
        <v>45708</v>
      </c>
      <c r="G223" t="s">
        <v>31</v>
      </c>
      <c r="H223">
        <v>0</v>
      </c>
    </row>
    <row r="224" spans="1:8" x14ac:dyDescent="0.3">
      <c r="A224" t="s">
        <v>472</v>
      </c>
      <c r="B224" t="s">
        <v>473</v>
      </c>
      <c r="C224" t="s">
        <v>113</v>
      </c>
      <c r="D224" t="s">
        <v>15</v>
      </c>
      <c r="E224" s="1">
        <v>45857</v>
      </c>
      <c r="F224" s="1">
        <v>45866</v>
      </c>
      <c r="G224" t="s">
        <v>107</v>
      </c>
      <c r="H224">
        <v>0</v>
      </c>
    </row>
    <row r="225" spans="1:8" x14ac:dyDescent="0.3">
      <c r="A225" t="s">
        <v>474</v>
      </c>
      <c r="B225" t="s">
        <v>475</v>
      </c>
      <c r="C225" t="s">
        <v>113</v>
      </c>
      <c r="D225" t="s">
        <v>40</v>
      </c>
      <c r="E225" s="1">
        <v>45667</v>
      </c>
      <c r="G225" t="s">
        <v>110</v>
      </c>
      <c r="H225">
        <v>0</v>
      </c>
    </row>
    <row r="226" spans="1:8" x14ac:dyDescent="0.3">
      <c r="A226" t="s">
        <v>476</v>
      </c>
      <c r="B226" t="s">
        <v>477</v>
      </c>
      <c r="C226" t="s">
        <v>28</v>
      </c>
      <c r="D226" t="s">
        <v>40</v>
      </c>
      <c r="E226" s="1">
        <v>45662</v>
      </c>
      <c r="F226" s="1">
        <v>45663</v>
      </c>
      <c r="G226" t="s">
        <v>110</v>
      </c>
      <c r="H226">
        <v>0</v>
      </c>
    </row>
    <row r="227" spans="1:8" x14ac:dyDescent="0.3">
      <c r="A227" t="s">
        <v>478</v>
      </c>
      <c r="B227" t="s">
        <v>479</v>
      </c>
      <c r="C227" t="s">
        <v>10</v>
      </c>
      <c r="D227" t="s">
        <v>40</v>
      </c>
      <c r="E227" s="1">
        <v>45854</v>
      </c>
      <c r="F227" s="1">
        <v>45869</v>
      </c>
      <c r="G227" t="s">
        <v>107</v>
      </c>
      <c r="H227">
        <v>0</v>
      </c>
    </row>
    <row r="228" spans="1:8" x14ac:dyDescent="0.3">
      <c r="A228" t="s">
        <v>480</v>
      </c>
      <c r="B228" t="s">
        <v>481</v>
      </c>
      <c r="C228" t="s">
        <v>19</v>
      </c>
      <c r="D228" t="s">
        <v>15</v>
      </c>
      <c r="E228" s="1">
        <v>45804</v>
      </c>
      <c r="G228" t="s">
        <v>12</v>
      </c>
      <c r="H228">
        <v>0</v>
      </c>
    </row>
    <row r="229" spans="1:8" x14ac:dyDescent="0.3">
      <c r="A229" t="s">
        <v>482</v>
      </c>
      <c r="B229" t="s">
        <v>483</v>
      </c>
      <c r="C229" t="s">
        <v>28</v>
      </c>
      <c r="D229" t="s">
        <v>40</v>
      </c>
      <c r="E229" s="1">
        <v>45676</v>
      </c>
      <c r="G229" t="s">
        <v>31</v>
      </c>
      <c r="H229">
        <v>0</v>
      </c>
    </row>
    <row r="230" spans="1:8" x14ac:dyDescent="0.3">
      <c r="A230" t="s">
        <v>484</v>
      </c>
      <c r="B230" t="s">
        <v>485</v>
      </c>
      <c r="C230" t="s">
        <v>113</v>
      </c>
      <c r="D230" t="s">
        <v>40</v>
      </c>
      <c r="E230" s="1">
        <v>45747</v>
      </c>
      <c r="F230" s="1">
        <v>45761</v>
      </c>
      <c r="G230" t="s">
        <v>31</v>
      </c>
      <c r="H230">
        <v>0</v>
      </c>
    </row>
    <row r="231" spans="1:8" x14ac:dyDescent="0.3">
      <c r="A231" t="s">
        <v>486</v>
      </c>
      <c r="B231" t="s">
        <v>487</v>
      </c>
      <c r="C231" t="s">
        <v>10</v>
      </c>
      <c r="D231" t="s">
        <v>15</v>
      </c>
      <c r="E231" s="1">
        <v>45735</v>
      </c>
      <c r="F231" s="1">
        <v>45739</v>
      </c>
      <c r="G231" t="s">
        <v>12</v>
      </c>
      <c r="H231">
        <v>0</v>
      </c>
    </row>
    <row r="232" spans="1:8" x14ac:dyDescent="0.3">
      <c r="A232" t="s">
        <v>488</v>
      </c>
      <c r="B232" t="s">
        <v>489</v>
      </c>
      <c r="C232" t="s">
        <v>28</v>
      </c>
      <c r="D232" t="s">
        <v>65</v>
      </c>
      <c r="E232" s="1">
        <v>45863</v>
      </c>
      <c r="F232" s="1">
        <v>45865</v>
      </c>
      <c r="G232" t="s">
        <v>12</v>
      </c>
      <c r="H232">
        <v>125</v>
      </c>
    </row>
    <row r="233" spans="1:8" x14ac:dyDescent="0.3">
      <c r="A233" t="s">
        <v>490</v>
      </c>
      <c r="B233" t="s">
        <v>491</v>
      </c>
      <c r="C233" t="s">
        <v>113</v>
      </c>
      <c r="D233" t="s">
        <v>15</v>
      </c>
      <c r="E233" s="1">
        <v>45884</v>
      </c>
      <c r="F233" s="1">
        <v>45891</v>
      </c>
      <c r="G233" t="s">
        <v>110</v>
      </c>
      <c r="H233">
        <v>0</v>
      </c>
    </row>
    <row r="234" spans="1:8" x14ac:dyDescent="0.3">
      <c r="A234" t="s">
        <v>492</v>
      </c>
      <c r="B234" t="s">
        <v>493</v>
      </c>
      <c r="C234" t="s">
        <v>22</v>
      </c>
      <c r="D234" t="s">
        <v>11</v>
      </c>
      <c r="E234" s="1">
        <v>45779</v>
      </c>
      <c r="F234" s="1">
        <v>45788</v>
      </c>
      <c r="G234" t="s">
        <v>110</v>
      </c>
      <c r="H234">
        <v>0</v>
      </c>
    </row>
    <row r="235" spans="1:8" x14ac:dyDescent="0.3">
      <c r="A235" t="s">
        <v>494</v>
      </c>
      <c r="B235" t="s">
        <v>495</v>
      </c>
      <c r="C235" t="s">
        <v>22</v>
      </c>
      <c r="D235" t="s">
        <v>65</v>
      </c>
      <c r="E235" s="1">
        <v>45944</v>
      </c>
      <c r="F235" s="1">
        <v>45958</v>
      </c>
      <c r="G235" t="s">
        <v>12</v>
      </c>
      <c r="H235">
        <v>165</v>
      </c>
    </row>
    <row r="236" spans="1:8" x14ac:dyDescent="0.3">
      <c r="A236" t="s">
        <v>496</v>
      </c>
      <c r="B236" t="s">
        <v>497</v>
      </c>
      <c r="C236" t="s">
        <v>19</v>
      </c>
      <c r="D236" t="s">
        <v>11</v>
      </c>
      <c r="E236" s="1">
        <v>45700</v>
      </c>
      <c r="F236" s="1">
        <v>45709</v>
      </c>
      <c r="G236" t="s">
        <v>107</v>
      </c>
      <c r="H236">
        <v>0</v>
      </c>
    </row>
    <row r="237" spans="1:8" x14ac:dyDescent="0.3">
      <c r="A237" t="s">
        <v>498</v>
      </c>
      <c r="B237" t="s">
        <v>499</v>
      </c>
      <c r="C237" t="s">
        <v>28</v>
      </c>
      <c r="D237" t="s">
        <v>15</v>
      </c>
      <c r="E237" s="1">
        <v>45899</v>
      </c>
      <c r="F237" s="1">
        <v>45900</v>
      </c>
      <c r="G237" t="s">
        <v>16</v>
      </c>
      <c r="H237">
        <v>0</v>
      </c>
    </row>
    <row r="238" spans="1:8" x14ac:dyDescent="0.3">
      <c r="A238" t="s">
        <v>500</v>
      </c>
      <c r="B238" t="s">
        <v>501</v>
      </c>
      <c r="C238" t="s">
        <v>19</v>
      </c>
      <c r="D238" t="s">
        <v>65</v>
      </c>
      <c r="E238" s="1">
        <v>45675</v>
      </c>
      <c r="F238" s="1">
        <v>45684</v>
      </c>
      <c r="G238" t="s">
        <v>12</v>
      </c>
      <c r="H238">
        <v>0</v>
      </c>
    </row>
    <row r="239" spans="1:8" x14ac:dyDescent="0.3">
      <c r="A239" t="s">
        <v>502</v>
      </c>
      <c r="B239" t="s">
        <v>503</v>
      </c>
      <c r="C239" t="s">
        <v>22</v>
      </c>
      <c r="D239" t="s">
        <v>40</v>
      </c>
      <c r="E239" s="1">
        <v>45789</v>
      </c>
      <c r="F239" s="1">
        <v>45796</v>
      </c>
      <c r="G239" t="s">
        <v>16</v>
      </c>
      <c r="H239">
        <v>0</v>
      </c>
    </row>
    <row r="240" spans="1:8" x14ac:dyDescent="0.3">
      <c r="A240" t="s">
        <v>504</v>
      </c>
      <c r="B240" t="s">
        <v>505</v>
      </c>
      <c r="C240" t="s">
        <v>22</v>
      </c>
      <c r="D240" t="s">
        <v>15</v>
      </c>
      <c r="E240" s="1">
        <v>45711</v>
      </c>
      <c r="G240" t="s">
        <v>31</v>
      </c>
      <c r="H240">
        <v>0</v>
      </c>
    </row>
    <row r="241" spans="1:8" x14ac:dyDescent="0.3">
      <c r="A241" t="s">
        <v>506</v>
      </c>
      <c r="B241" t="s">
        <v>507</v>
      </c>
      <c r="C241" t="s">
        <v>113</v>
      </c>
      <c r="D241" t="s">
        <v>15</v>
      </c>
      <c r="E241" s="1">
        <v>45762</v>
      </c>
      <c r="F241" s="1">
        <v>45776</v>
      </c>
      <c r="G241" t="s">
        <v>107</v>
      </c>
      <c r="H241">
        <v>0</v>
      </c>
    </row>
    <row r="242" spans="1:8" x14ac:dyDescent="0.3">
      <c r="A242" t="s">
        <v>508</v>
      </c>
      <c r="B242" t="s">
        <v>509</v>
      </c>
      <c r="C242" t="s">
        <v>113</v>
      </c>
      <c r="D242" t="s">
        <v>15</v>
      </c>
      <c r="E242" s="1">
        <v>45800</v>
      </c>
      <c r="F242" s="1">
        <v>45808</v>
      </c>
      <c r="G242" t="s">
        <v>31</v>
      </c>
      <c r="H242">
        <v>0</v>
      </c>
    </row>
    <row r="243" spans="1:8" x14ac:dyDescent="0.3">
      <c r="A243" t="s">
        <v>510</v>
      </c>
      <c r="B243" t="s">
        <v>511</v>
      </c>
      <c r="C243" t="s">
        <v>113</v>
      </c>
      <c r="D243" t="s">
        <v>65</v>
      </c>
      <c r="E243" s="1">
        <v>45714</v>
      </c>
      <c r="G243" t="s">
        <v>107</v>
      </c>
      <c r="H243">
        <v>0</v>
      </c>
    </row>
    <row r="244" spans="1:8" x14ac:dyDescent="0.3">
      <c r="A244" t="s">
        <v>512</v>
      </c>
      <c r="B244" t="s">
        <v>513</v>
      </c>
      <c r="C244" t="s">
        <v>22</v>
      </c>
      <c r="D244" t="s">
        <v>40</v>
      </c>
      <c r="E244" s="1">
        <v>45712</v>
      </c>
      <c r="F244" s="1">
        <v>45713</v>
      </c>
      <c r="G244" t="s">
        <v>110</v>
      </c>
      <c r="H244">
        <v>0</v>
      </c>
    </row>
    <row r="245" spans="1:8" x14ac:dyDescent="0.3">
      <c r="A245" t="s">
        <v>514</v>
      </c>
      <c r="B245" t="s">
        <v>515</v>
      </c>
      <c r="C245" t="s">
        <v>19</v>
      </c>
      <c r="D245" t="s">
        <v>11</v>
      </c>
      <c r="E245" s="1">
        <v>45813</v>
      </c>
      <c r="G245" t="s">
        <v>31</v>
      </c>
      <c r="H245">
        <v>0</v>
      </c>
    </row>
    <row r="246" spans="1:8" x14ac:dyDescent="0.3">
      <c r="A246" t="s">
        <v>516</v>
      </c>
      <c r="B246" t="s">
        <v>517</v>
      </c>
      <c r="C246" t="s">
        <v>10</v>
      </c>
      <c r="D246" t="s">
        <v>65</v>
      </c>
      <c r="E246" s="1">
        <v>45956</v>
      </c>
      <c r="F246" s="1">
        <v>45960</v>
      </c>
      <c r="G246" t="s">
        <v>12</v>
      </c>
      <c r="H246">
        <v>177</v>
      </c>
    </row>
    <row r="247" spans="1:8" x14ac:dyDescent="0.3">
      <c r="A247" t="s">
        <v>518</v>
      </c>
      <c r="B247" t="s">
        <v>519</v>
      </c>
      <c r="C247" t="s">
        <v>28</v>
      </c>
      <c r="D247" t="s">
        <v>65</v>
      </c>
      <c r="E247" s="1">
        <v>45671</v>
      </c>
      <c r="F247" s="1">
        <v>45682</v>
      </c>
      <c r="G247" t="s">
        <v>110</v>
      </c>
      <c r="H247">
        <v>0</v>
      </c>
    </row>
    <row r="248" spans="1:8" x14ac:dyDescent="0.3">
      <c r="A248" t="s">
        <v>520</v>
      </c>
      <c r="B248" t="s">
        <v>521</v>
      </c>
      <c r="C248" t="s">
        <v>22</v>
      </c>
      <c r="D248" t="s">
        <v>65</v>
      </c>
      <c r="E248" s="1">
        <v>45748</v>
      </c>
      <c r="F248" s="1">
        <v>45754</v>
      </c>
      <c r="G248" t="s">
        <v>12</v>
      </c>
      <c r="H248">
        <v>84</v>
      </c>
    </row>
    <row r="249" spans="1:8" x14ac:dyDescent="0.3">
      <c r="A249" t="s">
        <v>522</v>
      </c>
      <c r="B249" t="s">
        <v>523</v>
      </c>
      <c r="C249" t="s">
        <v>28</v>
      </c>
      <c r="D249" t="s">
        <v>15</v>
      </c>
      <c r="E249" s="1">
        <v>45811</v>
      </c>
      <c r="F249" s="1">
        <v>45823</v>
      </c>
      <c r="G249" t="s">
        <v>107</v>
      </c>
      <c r="H249">
        <v>0</v>
      </c>
    </row>
    <row r="250" spans="1:8" x14ac:dyDescent="0.3">
      <c r="A250" t="s">
        <v>524</v>
      </c>
      <c r="B250" t="s">
        <v>525</v>
      </c>
      <c r="C250" t="s">
        <v>19</v>
      </c>
      <c r="D250" t="s">
        <v>40</v>
      </c>
      <c r="E250" s="1">
        <v>45914</v>
      </c>
      <c r="F250" s="1">
        <v>45916</v>
      </c>
      <c r="G250" t="s">
        <v>110</v>
      </c>
      <c r="H250">
        <v>0</v>
      </c>
    </row>
    <row r="251" spans="1:8" x14ac:dyDescent="0.3">
      <c r="A251" t="s">
        <v>526</v>
      </c>
      <c r="B251" t="s">
        <v>527</v>
      </c>
      <c r="C251" t="s">
        <v>28</v>
      </c>
      <c r="D251" t="s">
        <v>40</v>
      </c>
      <c r="E251" s="1">
        <v>45853</v>
      </c>
      <c r="G251" t="s">
        <v>31</v>
      </c>
      <c r="H251">
        <v>0</v>
      </c>
    </row>
    <row r="252" spans="1:8" x14ac:dyDescent="0.3">
      <c r="A252" t="s">
        <v>528</v>
      </c>
      <c r="B252" t="s">
        <v>529</v>
      </c>
      <c r="C252" t="s">
        <v>28</v>
      </c>
      <c r="D252" t="s">
        <v>65</v>
      </c>
      <c r="E252" s="1">
        <v>45658</v>
      </c>
      <c r="G252" t="s">
        <v>31</v>
      </c>
      <c r="H252">
        <v>0</v>
      </c>
    </row>
    <row r="253" spans="1:8" x14ac:dyDescent="0.3">
      <c r="A253" t="s">
        <v>530</v>
      </c>
      <c r="B253" t="s">
        <v>531</v>
      </c>
      <c r="C253" t="s">
        <v>22</v>
      </c>
      <c r="D253" t="s">
        <v>65</v>
      </c>
      <c r="E253" s="1">
        <v>45812</v>
      </c>
      <c r="G253" t="s">
        <v>31</v>
      </c>
      <c r="H253">
        <v>0</v>
      </c>
    </row>
    <row r="254" spans="1:8" x14ac:dyDescent="0.3">
      <c r="A254" t="s">
        <v>532</v>
      </c>
      <c r="B254" t="s">
        <v>533</v>
      </c>
      <c r="C254" t="s">
        <v>28</v>
      </c>
      <c r="D254" t="s">
        <v>15</v>
      </c>
      <c r="E254" s="1">
        <v>45740</v>
      </c>
      <c r="G254" t="s">
        <v>31</v>
      </c>
      <c r="H254">
        <v>0</v>
      </c>
    </row>
    <row r="255" spans="1:8" x14ac:dyDescent="0.3">
      <c r="A255" t="s">
        <v>534</v>
      </c>
      <c r="B255" t="s">
        <v>535</v>
      </c>
      <c r="C255" t="s">
        <v>19</v>
      </c>
      <c r="D255" t="s">
        <v>65</v>
      </c>
      <c r="E255" s="1">
        <v>45784</v>
      </c>
      <c r="F255" s="1">
        <v>45791</v>
      </c>
      <c r="G255" t="s">
        <v>31</v>
      </c>
      <c r="H255">
        <v>0</v>
      </c>
    </row>
    <row r="256" spans="1:8" x14ac:dyDescent="0.3">
      <c r="A256" t="s">
        <v>536</v>
      </c>
      <c r="B256" t="s">
        <v>537</v>
      </c>
      <c r="C256" t="s">
        <v>10</v>
      </c>
      <c r="D256" t="s">
        <v>11</v>
      </c>
      <c r="E256" s="1">
        <v>45789</v>
      </c>
      <c r="F256" s="1">
        <v>45789</v>
      </c>
      <c r="G256" t="s">
        <v>12</v>
      </c>
      <c r="H256">
        <v>221</v>
      </c>
    </row>
    <row r="257" spans="1:8" x14ac:dyDescent="0.3">
      <c r="A257" t="s">
        <v>538</v>
      </c>
      <c r="B257" t="s">
        <v>539</v>
      </c>
      <c r="C257" t="s">
        <v>10</v>
      </c>
      <c r="D257" t="s">
        <v>40</v>
      </c>
      <c r="E257" s="1">
        <v>45867</v>
      </c>
      <c r="F257" s="1">
        <v>45869</v>
      </c>
      <c r="G257" t="s">
        <v>12</v>
      </c>
      <c r="H257">
        <v>209</v>
      </c>
    </row>
    <row r="258" spans="1:8" x14ac:dyDescent="0.3">
      <c r="A258" t="s">
        <v>540</v>
      </c>
      <c r="B258" t="s">
        <v>541</v>
      </c>
      <c r="C258" t="s">
        <v>28</v>
      </c>
      <c r="D258" t="s">
        <v>15</v>
      </c>
      <c r="E258" s="1">
        <v>45896</v>
      </c>
      <c r="F258" s="1">
        <v>45902</v>
      </c>
      <c r="G258" t="s">
        <v>107</v>
      </c>
      <c r="H258">
        <v>0</v>
      </c>
    </row>
    <row r="259" spans="1:8" x14ac:dyDescent="0.3">
      <c r="A259" t="s">
        <v>542</v>
      </c>
      <c r="B259" t="s">
        <v>543</v>
      </c>
      <c r="C259" t="s">
        <v>19</v>
      </c>
      <c r="D259" t="s">
        <v>65</v>
      </c>
      <c r="E259" s="1">
        <v>45896</v>
      </c>
      <c r="G259" t="s">
        <v>12</v>
      </c>
      <c r="H259">
        <v>232</v>
      </c>
    </row>
    <row r="260" spans="1:8" x14ac:dyDescent="0.3">
      <c r="A260" t="s">
        <v>544</v>
      </c>
      <c r="B260" t="s">
        <v>545</v>
      </c>
      <c r="C260" t="s">
        <v>10</v>
      </c>
      <c r="D260" t="s">
        <v>40</v>
      </c>
      <c r="E260" s="1">
        <v>45953</v>
      </c>
      <c r="G260" t="s">
        <v>107</v>
      </c>
      <c r="H260">
        <v>0</v>
      </c>
    </row>
    <row r="261" spans="1:8" x14ac:dyDescent="0.3">
      <c r="A261" t="s">
        <v>546</v>
      </c>
      <c r="B261" t="s">
        <v>547</v>
      </c>
      <c r="C261" t="s">
        <v>22</v>
      </c>
      <c r="D261" t="s">
        <v>11</v>
      </c>
      <c r="E261" s="1">
        <v>45920</v>
      </c>
      <c r="F261" s="1">
        <v>45923</v>
      </c>
      <c r="G261" t="s">
        <v>110</v>
      </c>
      <c r="H261">
        <v>0</v>
      </c>
    </row>
    <row r="262" spans="1:8" x14ac:dyDescent="0.3">
      <c r="A262" t="s">
        <v>548</v>
      </c>
      <c r="B262" t="s">
        <v>549</v>
      </c>
      <c r="C262" t="s">
        <v>10</v>
      </c>
      <c r="D262" t="s">
        <v>65</v>
      </c>
      <c r="E262" s="1">
        <v>45832</v>
      </c>
      <c r="F262" s="1">
        <v>45845</v>
      </c>
      <c r="G262" t="s">
        <v>31</v>
      </c>
      <c r="H262">
        <v>0</v>
      </c>
    </row>
    <row r="263" spans="1:8" x14ac:dyDescent="0.3">
      <c r="A263" t="s">
        <v>550</v>
      </c>
      <c r="B263" t="s">
        <v>551</v>
      </c>
      <c r="C263" t="s">
        <v>10</v>
      </c>
      <c r="D263" t="s">
        <v>11</v>
      </c>
      <c r="E263" s="1">
        <v>45826</v>
      </c>
      <c r="F263" s="1">
        <v>45836</v>
      </c>
      <c r="G263" t="s">
        <v>12</v>
      </c>
      <c r="H263">
        <v>148</v>
      </c>
    </row>
    <row r="264" spans="1:8" x14ac:dyDescent="0.3">
      <c r="A264" t="s">
        <v>552</v>
      </c>
      <c r="B264" t="s">
        <v>553</v>
      </c>
      <c r="C264" t="s">
        <v>19</v>
      </c>
      <c r="D264" t="s">
        <v>15</v>
      </c>
      <c r="E264" s="1">
        <v>45889</v>
      </c>
      <c r="F264" s="1">
        <v>45892</v>
      </c>
      <c r="G264" t="s">
        <v>110</v>
      </c>
      <c r="H264">
        <v>0</v>
      </c>
    </row>
    <row r="265" spans="1:8" x14ac:dyDescent="0.3">
      <c r="A265" t="s">
        <v>554</v>
      </c>
      <c r="B265" t="s">
        <v>555</v>
      </c>
      <c r="C265" t="s">
        <v>19</v>
      </c>
      <c r="D265" t="s">
        <v>40</v>
      </c>
      <c r="E265" s="1">
        <v>45855</v>
      </c>
      <c r="F265" s="1">
        <v>45865</v>
      </c>
      <c r="G265" t="s">
        <v>31</v>
      </c>
      <c r="H265">
        <v>0</v>
      </c>
    </row>
    <row r="266" spans="1:8" x14ac:dyDescent="0.3">
      <c r="A266" t="s">
        <v>556</v>
      </c>
      <c r="B266" t="s">
        <v>557</v>
      </c>
      <c r="C266" t="s">
        <v>113</v>
      </c>
      <c r="D266" t="s">
        <v>11</v>
      </c>
      <c r="E266" s="1">
        <v>45830</v>
      </c>
      <c r="F266" s="1">
        <v>45830</v>
      </c>
      <c r="G266" t="s">
        <v>107</v>
      </c>
      <c r="H266">
        <v>0</v>
      </c>
    </row>
    <row r="267" spans="1:8" x14ac:dyDescent="0.3">
      <c r="A267" t="s">
        <v>558</v>
      </c>
      <c r="B267" t="s">
        <v>559</v>
      </c>
      <c r="C267" t="s">
        <v>22</v>
      </c>
      <c r="D267" t="s">
        <v>11</v>
      </c>
      <c r="E267" s="1">
        <v>45740</v>
      </c>
      <c r="F267" s="1">
        <v>45753</v>
      </c>
      <c r="G267" t="s">
        <v>12</v>
      </c>
      <c r="H267">
        <v>0</v>
      </c>
    </row>
    <row r="268" spans="1:8" x14ac:dyDescent="0.3">
      <c r="A268" t="s">
        <v>560</v>
      </c>
      <c r="B268" t="s">
        <v>561</v>
      </c>
      <c r="C268" t="s">
        <v>28</v>
      </c>
      <c r="D268" t="s">
        <v>65</v>
      </c>
      <c r="E268" s="1">
        <v>45779</v>
      </c>
      <c r="F268" s="1">
        <v>45790</v>
      </c>
      <c r="G268" t="s">
        <v>12</v>
      </c>
      <c r="H268">
        <v>54</v>
      </c>
    </row>
    <row r="269" spans="1:8" x14ac:dyDescent="0.3">
      <c r="A269" t="s">
        <v>562</v>
      </c>
      <c r="B269" t="s">
        <v>563</v>
      </c>
      <c r="C269" t="s">
        <v>22</v>
      </c>
      <c r="D269" t="s">
        <v>40</v>
      </c>
      <c r="E269" s="1">
        <v>45821</v>
      </c>
      <c r="F269" s="1">
        <v>45829</v>
      </c>
      <c r="G269" t="s">
        <v>107</v>
      </c>
      <c r="H269">
        <v>0</v>
      </c>
    </row>
    <row r="270" spans="1:8" x14ac:dyDescent="0.3">
      <c r="A270" t="s">
        <v>564</v>
      </c>
      <c r="B270" t="s">
        <v>565</v>
      </c>
      <c r="C270" t="s">
        <v>19</v>
      </c>
      <c r="D270" t="s">
        <v>11</v>
      </c>
      <c r="E270" s="1">
        <v>45790</v>
      </c>
      <c r="F270" s="1">
        <v>45797</v>
      </c>
      <c r="G270" t="s">
        <v>31</v>
      </c>
      <c r="H270">
        <v>0</v>
      </c>
    </row>
    <row r="271" spans="1:8" x14ac:dyDescent="0.3">
      <c r="A271" t="s">
        <v>566</v>
      </c>
      <c r="B271" t="s">
        <v>567</v>
      </c>
      <c r="C271" t="s">
        <v>22</v>
      </c>
      <c r="D271" t="s">
        <v>11</v>
      </c>
      <c r="E271" s="1">
        <v>45695</v>
      </c>
      <c r="F271" s="1">
        <v>45704</v>
      </c>
      <c r="G271" t="s">
        <v>16</v>
      </c>
      <c r="H271">
        <v>0</v>
      </c>
    </row>
    <row r="272" spans="1:8" x14ac:dyDescent="0.3">
      <c r="A272" t="s">
        <v>568</v>
      </c>
      <c r="B272" t="s">
        <v>569</v>
      </c>
      <c r="C272" t="s">
        <v>28</v>
      </c>
      <c r="D272" t="s">
        <v>15</v>
      </c>
      <c r="E272" s="1">
        <v>45856</v>
      </c>
      <c r="G272" t="s">
        <v>107</v>
      </c>
      <c r="H272">
        <v>0</v>
      </c>
    </row>
    <row r="273" spans="1:8" x14ac:dyDescent="0.3">
      <c r="A273" t="s">
        <v>570</v>
      </c>
      <c r="B273" t="s">
        <v>571</v>
      </c>
      <c r="C273" t="s">
        <v>10</v>
      </c>
      <c r="D273" t="s">
        <v>40</v>
      </c>
      <c r="E273" s="1">
        <v>45693</v>
      </c>
      <c r="F273" s="1">
        <v>45695</v>
      </c>
      <c r="G273" t="s">
        <v>110</v>
      </c>
      <c r="H273">
        <v>0</v>
      </c>
    </row>
    <row r="274" spans="1:8" x14ac:dyDescent="0.3">
      <c r="A274" t="s">
        <v>572</v>
      </c>
      <c r="B274" t="s">
        <v>573</v>
      </c>
      <c r="C274" t="s">
        <v>10</v>
      </c>
      <c r="D274" t="s">
        <v>65</v>
      </c>
      <c r="E274" s="1">
        <v>45772</v>
      </c>
      <c r="F274" s="1">
        <v>45775</v>
      </c>
      <c r="G274" t="s">
        <v>16</v>
      </c>
      <c r="H274">
        <v>0</v>
      </c>
    </row>
    <row r="275" spans="1:8" x14ac:dyDescent="0.3">
      <c r="A275" t="s">
        <v>574</v>
      </c>
      <c r="B275" t="s">
        <v>575</v>
      </c>
      <c r="C275" t="s">
        <v>19</v>
      </c>
      <c r="D275" t="s">
        <v>11</v>
      </c>
      <c r="E275" s="1">
        <v>45807</v>
      </c>
      <c r="F275" s="1">
        <v>45822</v>
      </c>
      <c r="G275" t="s">
        <v>31</v>
      </c>
      <c r="H275">
        <v>0</v>
      </c>
    </row>
    <row r="276" spans="1:8" x14ac:dyDescent="0.3">
      <c r="A276" t="s">
        <v>576</v>
      </c>
      <c r="B276" t="s">
        <v>577</v>
      </c>
      <c r="C276" t="s">
        <v>10</v>
      </c>
      <c r="D276" t="s">
        <v>11</v>
      </c>
      <c r="E276" s="1">
        <v>45692</v>
      </c>
      <c r="G276" t="s">
        <v>107</v>
      </c>
      <c r="H276">
        <v>0</v>
      </c>
    </row>
    <row r="277" spans="1:8" x14ac:dyDescent="0.3">
      <c r="A277" t="s">
        <v>578</v>
      </c>
      <c r="B277" t="s">
        <v>579</v>
      </c>
      <c r="C277" t="s">
        <v>19</v>
      </c>
      <c r="D277" t="s">
        <v>65</v>
      </c>
      <c r="E277" s="1">
        <v>45850</v>
      </c>
      <c r="F277" s="1">
        <v>45856</v>
      </c>
      <c r="G277" t="s">
        <v>107</v>
      </c>
      <c r="H277">
        <v>0</v>
      </c>
    </row>
    <row r="278" spans="1:8" x14ac:dyDescent="0.3">
      <c r="A278" t="s">
        <v>580</v>
      </c>
      <c r="B278" t="s">
        <v>581</v>
      </c>
      <c r="C278" t="s">
        <v>113</v>
      </c>
      <c r="D278" t="s">
        <v>15</v>
      </c>
      <c r="E278" s="1">
        <v>45733</v>
      </c>
      <c r="G278" t="s">
        <v>107</v>
      </c>
      <c r="H278">
        <v>0</v>
      </c>
    </row>
    <row r="279" spans="1:8" x14ac:dyDescent="0.3">
      <c r="A279" t="s">
        <v>582</v>
      </c>
      <c r="B279" t="s">
        <v>583</v>
      </c>
      <c r="C279" t="s">
        <v>10</v>
      </c>
      <c r="D279" t="s">
        <v>65</v>
      </c>
      <c r="E279" s="1">
        <v>45845</v>
      </c>
      <c r="F279" s="1">
        <v>45845</v>
      </c>
      <c r="G279" t="s">
        <v>16</v>
      </c>
      <c r="H279">
        <v>0</v>
      </c>
    </row>
    <row r="280" spans="1:8" x14ac:dyDescent="0.3">
      <c r="A280" t="s">
        <v>584</v>
      </c>
      <c r="B280" t="s">
        <v>585</v>
      </c>
      <c r="C280" t="s">
        <v>19</v>
      </c>
      <c r="D280" t="s">
        <v>40</v>
      </c>
      <c r="E280" s="1">
        <v>45742</v>
      </c>
      <c r="G280" t="s">
        <v>110</v>
      </c>
      <c r="H280">
        <v>0</v>
      </c>
    </row>
    <row r="281" spans="1:8" x14ac:dyDescent="0.3">
      <c r="A281" t="s">
        <v>586</v>
      </c>
      <c r="B281" t="s">
        <v>587</v>
      </c>
      <c r="C281" t="s">
        <v>10</v>
      </c>
      <c r="D281" t="s">
        <v>40</v>
      </c>
      <c r="E281" s="1">
        <v>45767</v>
      </c>
      <c r="F281" s="1">
        <v>45767</v>
      </c>
      <c r="G281" t="s">
        <v>110</v>
      </c>
      <c r="H281">
        <v>0</v>
      </c>
    </row>
    <row r="282" spans="1:8" x14ac:dyDescent="0.3">
      <c r="A282" t="s">
        <v>588</v>
      </c>
      <c r="B282" t="s">
        <v>589</v>
      </c>
      <c r="C282" t="s">
        <v>22</v>
      </c>
      <c r="D282" t="s">
        <v>11</v>
      </c>
      <c r="E282" s="1">
        <v>45837</v>
      </c>
      <c r="F282" s="1">
        <v>45850</v>
      </c>
      <c r="G282" t="s">
        <v>31</v>
      </c>
      <c r="H282">
        <v>0</v>
      </c>
    </row>
    <row r="283" spans="1:8" x14ac:dyDescent="0.3">
      <c r="A283" t="s">
        <v>590</v>
      </c>
      <c r="B283" t="s">
        <v>591</v>
      </c>
      <c r="C283" t="s">
        <v>10</v>
      </c>
      <c r="D283" t="s">
        <v>11</v>
      </c>
      <c r="E283" s="1">
        <v>45746</v>
      </c>
      <c r="F283" s="1">
        <v>45746</v>
      </c>
      <c r="G283" t="s">
        <v>16</v>
      </c>
      <c r="H283">
        <v>0</v>
      </c>
    </row>
    <row r="284" spans="1:8" x14ac:dyDescent="0.3">
      <c r="A284" t="s">
        <v>592</v>
      </c>
      <c r="B284" t="s">
        <v>593</v>
      </c>
      <c r="C284" t="s">
        <v>19</v>
      </c>
      <c r="D284" t="s">
        <v>40</v>
      </c>
      <c r="E284" s="1">
        <v>45860</v>
      </c>
      <c r="G284" t="s">
        <v>12</v>
      </c>
      <c r="H284">
        <v>0</v>
      </c>
    </row>
    <row r="285" spans="1:8" x14ac:dyDescent="0.3">
      <c r="A285" t="s">
        <v>594</v>
      </c>
      <c r="B285" t="s">
        <v>595</v>
      </c>
      <c r="C285" t="s">
        <v>113</v>
      </c>
      <c r="D285" t="s">
        <v>15</v>
      </c>
      <c r="E285" s="1">
        <v>45745</v>
      </c>
      <c r="F285" s="1">
        <v>45753</v>
      </c>
      <c r="G285" t="s">
        <v>107</v>
      </c>
      <c r="H285">
        <v>0</v>
      </c>
    </row>
    <row r="286" spans="1:8" x14ac:dyDescent="0.3">
      <c r="A286" t="s">
        <v>596</v>
      </c>
      <c r="B286" t="s">
        <v>597</v>
      </c>
      <c r="C286" t="s">
        <v>19</v>
      </c>
      <c r="D286" t="s">
        <v>15</v>
      </c>
      <c r="E286" s="1">
        <v>45955</v>
      </c>
      <c r="F286" s="1">
        <v>45960</v>
      </c>
      <c r="G286" t="s">
        <v>31</v>
      </c>
      <c r="H286">
        <v>0</v>
      </c>
    </row>
    <row r="287" spans="1:8" x14ac:dyDescent="0.3">
      <c r="A287" t="s">
        <v>598</v>
      </c>
      <c r="B287" t="s">
        <v>599</v>
      </c>
      <c r="C287" t="s">
        <v>19</v>
      </c>
      <c r="D287" t="s">
        <v>15</v>
      </c>
      <c r="E287" s="1">
        <v>45750</v>
      </c>
      <c r="F287" s="1">
        <v>45757</v>
      </c>
      <c r="G287" t="s">
        <v>16</v>
      </c>
      <c r="H287">
        <v>0</v>
      </c>
    </row>
    <row r="288" spans="1:8" x14ac:dyDescent="0.3">
      <c r="A288" t="s">
        <v>600</v>
      </c>
      <c r="B288" t="s">
        <v>601</v>
      </c>
      <c r="C288" t="s">
        <v>113</v>
      </c>
      <c r="D288" t="s">
        <v>65</v>
      </c>
      <c r="E288" s="1">
        <v>45836</v>
      </c>
      <c r="F288" s="1">
        <v>45838</v>
      </c>
      <c r="G288" t="s">
        <v>107</v>
      </c>
      <c r="H288">
        <v>0</v>
      </c>
    </row>
    <row r="289" spans="1:8" x14ac:dyDescent="0.3">
      <c r="A289" t="s">
        <v>602</v>
      </c>
      <c r="B289" t="s">
        <v>603</v>
      </c>
      <c r="C289" t="s">
        <v>10</v>
      </c>
      <c r="D289" t="s">
        <v>40</v>
      </c>
      <c r="E289" s="1">
        <v>45811</v>
      </c>
      <c r="F289" s="1">
        <v>45825</v>
      </c>
      <c r="G289" t="s">
        <v>107</v>
      </c>
      <c r="H289">
        <v>0</v>
      </c>
    </row>
    <row r="290" spans="1:8" x14ac:dyDescent="0.3">
      <c r="A290" t="s">
        <v>604</v>
      </c>
      <c r="B290" t="s">
        <v>605</v>
      </c>
      <c r="C290" t="s">
        <v>22</v>
      </c>
      <c r="D290" t="s">
        <v>11</v>
      </c>
      <c r="E290" s="1">
        <v>45755</v>
      </c>
      <c r="F290" s="1">
        <v>45760</v>
      </c>
      <c r="G290" t="s">
        <v>12</v>
      </c>
      <c r="H290">
        <v>0</v>
      </c>
    </row>
    <row r="291" spans="1:8" x14ac:dyDescent="0.3">
      <c r="A291" t="s">
        <v>606</v>
      </c>
      <c r="B291" t="s">
        <v>607</v>
      </c>
      <c r="C291" t="s">
        <v>22</v>
      </c>
      <c r="D291" t="s">
        <v>15</v>
      </c>
      <c r="E291" s="1">
        <v>45683</v>
      </c>
      <c r="F291" s="1">
        <v>45690</v>
      </c>
      <c r="G291" t="s">
        <v>107</v>
      </c>
      <c r="H291">
        <v>0</v>
      </c>
    </row>
    <row r="292" spans="1:8" x14ac:dyDescent="0.3">
      <c r="A292" t="s">
        <v>608</v>
      </c>
      <c r="B292" t="s">
        <v>609</v>
      </c>
      <c r="C292" t="s">
        <v>19</v>
      </c>
      <c r="D292" t="s">
        <v>40</v>
      </c>
      <c r="E292" s="1">
        <v>45806</v>
      </c>
      <c r="F292" s="1">
        <v>45812</v>
      </c>
      <c r="G292" t="s">
        <v>16</v>
      </c>
      <c r="H292">
        <v>0</v>
      </c>
    </row>
    <row r="293" spans="1:8" x14ac:dyDescent="0.3">
      <c r="A293" t="s">
        <v>610</v>
      </c>
      <c r="B293" t="s">
        <v>611</v>
      </c>
      <c r="C293" t="s">
        <v>10</v>
      </c>
      <c r="D293" t="s">
        <v>40</v>
      </c>
      <c r="E293" s="1">
        <v>45768</v>
      </c>
      <c r="F293" s="1">
        <v>45772</v>
      </c>
      <c r="G293" t="s">
        <v>31</v>
      </c>
      <c r="H293">
        <v>0</v>
      </c>
    </row>
    <row r="294" spans="1:8" x14ac:dyDescent="0.3">
      <c r="A294" t="s">
        <v>612</v>
      </c>
      <c r="B294" t="s">
        <v>613</v>
      </c>
      <c r="C294" t="s">
        <v>113</v>
      </c>
      <c r="D294" t="s">
        <v>65</v>
      </c>
      <c r="E294" s="1">
        <v>45953</v>
      </c>
      <c r="F294" s="1">
        <v>45965</v>
      </c>
      <c r="G294" t="s">
        <v>12</v>
      </c>
      <c r="H294">
        <v>0</v>
      </c>
    </row>
    <row r="295" spans="1:8" x14ac:dyDescent="0.3">
      <c r="A295" t="s">
        <v>614</v>
      </c>
      <c r="B295" t="s">
        <v>615</v>
      </c>
      <c r="C295" t="s">
        <v>19</v>
      </c>
      <c r="D295" t="s">
        <v>11</v>
      </c>
      <c r="E295" s="1">
        <v>45771</v>
      </c>
      <c r="F295" s="1">
        <v>45784</v>
      </c>
      <c r="G295" t="s">
        <v>16</v>
      </c>
      <c r="H295">
        <v>0</v>
      </c>
    </row>
    <row r="296" spans="1:8" x14ac:dyDescent="0.3">
      <c r="A296" t="s">
        <v>616</v>
      </c>
      <c r="B296" t="s">
        <v>617</v>
      </c>
      <c r="C296" t="s">
        <v>28</v>
      </c>
      <c r="D296" t="s">
        <v>40</v>
      </c>
      <c r="E296" s="1">
        <v>45686</v>
      </c>
      <c r="F296" s="1">
        <v>45698</v>
      </c>
      <c r="G296" t="s">
        <v>110</v>
      </c>
      <c r="H296">
        <v>0</v>
      </c>
    </row>
    <row r="297" spans="1:8" x14ac:dyDescent="0.3">
      <c r="A297" t="s">
        <v>618</v>
      </c>
      <c r="B297" t="s">
        <v>619</v>
      </c>
      <c r="C297" t="s">
        <v>19</v>
      </c>
      <c r="D297" t="s">
        <v>11</v>
      </c>
      <c r="E297" s="1">
        <v>45820</v>
      </c>
      <c r="F297" s="1">
        <v>45821</v>
      </c>
      <c r="G297" t="s">
        <v>31</v>
      </c>
      <c r="H297">
        <v>0</v>
      </c>
    </row>
    <row r="298" spans="1:8" x14ac:dyDescent="0.3">
      <c r="A298" t="s">
        <v>620</v>
      </c>
      <c r="B298" t="s">
        <v>621</v>
      </c>
      <c r="C298" t="s">
        <v>113</v>
      </c>
      <c r="D298" t="s">
        <v>11</v>
      </c>
      <c r="E298" s="1">
        <v>45753</v>
      </c>
      <c r="F298" s="1">
        <v>45753</v>
      </c>
      <c r="G298" t="s">
        <v>110</v>
      </c>
      <c r="H298">
        <v>0</v>
      </c>
    </row>
    <row r="299" spans="1:8" x14ac:dyDescent="0.3">
      <c r="A299" t="s">
        <v>622</v>
      </c>
      <c r="B299" t="s">
        <v>623</v>
      </c>
      <c r="C299" t="s">
        <v>19</v>
      </c>
      <c r="D299" t="s">
        <v>11</v>
      </c>
      <c r="E299" s="1">
        <v>45760</v>
      </c>
      <c r="G299" t="s">
        <v>16</v>
      </c>
      <c r="H299">
        <v>0</v>
      </c>
    </row>
    <row r="300" spans="1:8" x14ac:dyDescent="0.3">
      <c r="A300" t="s">
        <v>624</v>
      </c>
      <c r="B300" t="s">
        <v>625</v>
      </c>
      <c r="C300" t="s">
        <v>113</v>
      </c>
      <c r="D300" t="s">
        <v>15</v>
      </c>
      <c r="E300" s="1">
        <v>45902</v>
      </c>
      <c r="F300" s="1">
        <v>45902</v>
      </c>
      <c r="G300" t="s">
        <v>110</v>
      </c>
      <c r="H300">
        <v>0</v>
      </c>
    </row>
    <row r="301" spans="1:8" x14ac:dyDescent="0.3">
      <c r="A301" t="s">
        <v>626</v>
      </c>
      <c r="B301" t="s">
        <v>627</v>
      </c>
      <c r="C301" t="s">
        <v>22</v>
      </c>
      <c r="D301" t="s">
        <v>11</v>
      </c>
      <c r="E301" s="1">
        <v>45872</v>
      </c>
      <c r="F301" s="1">
        <v>45885</v>
      </c>
      <c r="G301" t="s">
        <v>16</v>
      </c>
      <c r="H301">
        <v>0</v>
      </c>
    </row>
    <row r="302" spans="1:8" x14ac:dyDescent="0.3">
      <c r="A302" t="s">
        <v>628</v>
      </c>
      <c r="B302" t="s">
        <v>629</v>
      </c>
      <c r="C302" t="s">
        <v>113</v>
      </c>
      <c r="D302" t="s">
        <v>40</v>
      </c>
      <c r="E302" s="1">
        <v>45811</v>
      </c>
      <c r="F302" s="1">
        <v>45816</v>
      </c>
      <c r="G302" t="s">
        <v>16</v>
      </c>
      <c r="H302">
        <v>0</v>
      </c>
    </row>
    <row r="303" spans="1:8" x14ac:dyDescent="0.3">
      <c r="A303" t="s">
        <v>630</v>
      </c>
      <c r="B303" t="s">
        <v>631</v>
      </c>
      <c r="C303" t="s">
        <v>10</v>
      </c>
      <c r="D303" t="s">
        <v>15</v>
      </c>
      <c r="E303" s="1">
        <v>45928</v>
      </c>
      <c r="F303" s="1">
        <v>45941</v>
      </c>
      <c r="G303" t="s">
        <v>110</v>
      </c>
      <c r="H303">
        <v>0</v>
      </c>
    </row>
    <row r="304" spans="1:8" x14ac:dyDescent="0.3">
      <c r="A304" t="s">
        <v>632</v>
      </c>
      <c r="B304" t="s">
        <v>633</v>
      </c>
      <c r="C304" t="s">
        <v>19</v>
      </c>
      <c r="D304" t="s">
        <v>65</v>
      </c>
      <c r="E304" s="1">
        <v>45686</v>
      </c>
      <c r="F304" s="1">
        <v>45700</v>
      </c>
      <c r="G304" t="s">
        <v>110</v>
      </c>
      <c r="H304">
        <v>0</v>
      </c>
    </row>
    <row r="305" spans="1:8" x14ac:dyDescent="0.3">
      <c r="A305" t="s">
        <v>634</v>
      </c>
      <c r="B305" t="s">
        <v>635</v>
      </c>
      <c r="C305" t="s">
        <v>28</v>
      </c>
      <c r="D305" t="s">
        <v>11</v>
      </c>
      <c r="E305" s="1">
        <v>45874</v>
      </c>
      <c r="F305" s="1">
        <v>45888</v>
      </c>
      <c r="G305" t="s">
        <v>16</v>
      </c>
      <c r="H305">
        <v>0</v>
      </c>
    </row>
    <row r="306" spans="1:8" x14ac:dyDescent="0.3">
      <c r="A306" t="s">
        <v>636</v>
      </c>
      <c r="B306" t="s">
        <v>637</v>
      </c>
      <c r="C306" t="s">
        <v>19</v>
      </c>
      <c r="D306" t="s">
        <v>65</v>
      </c>
      <c r="E306" s="1">
        <v>45863</v>
      </c>
      <c r="F306" s="1">
        <v>45876</v>
      </c>
      <c r="G306" t="s">
        <v>31</v>
      </c>
      <c r="H306">
        <v>0</v>
      </c>
    </row>
    <row r="307" spans="1:8" x14ac:dyDescent="0.3">
      <c r="A307" t="s">
        <v>638</v>
      </c>
      <c r="B307" t="s">
        <v>639</v>
      </c>
      <c r="C307" t="s">
        <v>28</v>
      </c>
      <c r="D307" t="s">
        <v>11</v>
      </c>
      <c r="E307" s="1">
        <v>45928</v>
      </c>
      <c r="F307" s="1">
        <v>45937</v>
      </c>
      <c r="G307" t="s">
        <v>16</v>
      </c>
      <c r="H307">
        <v>0</v>
      </c>
    </row>
    <row r="308" spans="1:8" x14ac:dyDescent="0.3">
      <c r="A308" t="s">
        <v>640</v>
      </c>
      <c r="B308" t="s">
        <v>641</v>
      </c>
      <c r="C308" t="s">
        <v>19</v>
      </c>
      <c r="D308" t="s">
        <v>65</v>
      </c>
      <c r="E308" s="1">
        <v>45679</v>
      </c>
      <c r="G308" t="s">
        <v>107</v>
      </c>
      <c r="H308">
        <v>0</v>
      </c>
    </row>
    <row r="309" spans="1:8" x14ac:dyDescent="0.3">
      <c r="A309" t="s">
        <v>642</v>
      </c>
      <c r="B309" t="s">
        <v>643</v>
      </c>
      <c r="C309" t="s">
        <v>19</v>
      </c>
      <c r="D309" t="s">
        <v>40</v>
      </c>
      <c r="E309" s="1">
        <v>45889</v>
      </c>
      <c r="F309" s="1">
        <v>45903</v>
      </c>
      <c r="G309" t="s">
        <v>16</v>
      </c>
      <c r="H309">
        <v>0</v>
      </c>
    </row>
    <row r="310" spans="1:8" x14ac:dyDescent="0.3">
      <c r="A310" t="s">
        <v>644</v>
      </c>
      <c r="B310" t="s">
        <v>645</v>
      </c>
      <c r="C310" t="s">
        <v>28</v>
      </c>
      <c r="D310" t="s">
        <v>15</v>
      </c>
      <c r="E310" s="1">
        <v>45802</v>
      </c>
      <c r="F310" s="1">
        <v>45814</v>
      </c>
      <c r="G310" t="s">
        <v>12</v>
      </c>
      <c r="H310">
        <v>142</v>
      </c>
    </row>
    <row r="311" spans="1:8" x14ac:dyDescent="0.3">
      <c r="A311" t="s">
        <v>646</v>
      </c>
      <c r="B311" t="s">
        <v>647</v>
      </c>
      <c r="C311" t="s">
        <v>113</v>
      </c>
      <c r="D311" t="s">
        <v>65</v>
      </c>
      <c r="E311" s="1">
        <v>45771</v>
      </c>
      <c r="F311" s="1">
        <v>45781</v>
      </c>
      <c r="G311" t="s">
        <v>12</v>
      </c>
      <c r="H311">
        <v>54</v>
      </c>
    </row>
    <row r="312" spans="1:8" x14ac:dyDescent="0.3">
      <c r="A312" t="s">
        <v>648</v>
      </c>
      <c r="B312" t="s">
        <v>649</v>
      </c>
      <c r="C312" t="s">
        <v>28</v>
      </c>
      <c r="D312" t="s">
        <v>11</v>
      </c>
      <c r="E312" s="1">
        <v>45681</v>
      </c>
      <c r="F312" s="1">
        <v>45693</v>
      </c>
      <c r="G312" t="s">
        <v>12</v>
      </c>
      <c r="H312">
        <v>249</v>
      </c>
    </row>
    <row r="313" spans="1:8" x14ac:dyDescent="0.3">
      <c r="A313" t="s">
        <v>650</v>
      </c>
      <c r="B313" t="s">
        <v>651</v>
      </c>
      <c r="C313" t="s">
        <v>10</v>
      </c>
      <c r="D313" t="s">
        <v>65</v>
      </c>
      <c r="E313" s="1">
        <v>45845</v>
      </c>
      <c r="F313" s="1">
        <v>45850</v>
      </c>
      <c r="G313" t="s">
        <v>107</v>
      </c>
      <c r="H313">
        <v>0</v>
      </c>
    </row>
    <row r="314" spans="1:8" x14ac:dyDescent="0.3">
      <c r="A314" t="s">
        <v>652</v>
      </c>
      <c r="B314" t="s">
        <v>653</v>
      </c>
      <c r="C314" t="s">
        <v>113</v>
      </c>
      <c r="D314" t="s">
        <v>15</v>
      </c>
      <c r="E314" s="1">
        <v>45832</v>
      </c>
      <c r="F314" s="1">
        <v>45843</v>
      </c>
      <c r="G314" t="s">
        <v>31</v>
      </c>
      <c r="H314">
        <v>0</v>
      </c>
    </row>
    <row r="315" spans="1:8" x14ac:dyDescent="0.3">
      <c r="A315" t="s">
        <v>654</v>
      </c>
      <c r="B315" t="s">
        <v>655</v>
      </c>
      <c r="C315" t="s">
        <v>28</v>
      </c>
      <c r="D315" t="s">
        <v>15</v>
      </c>
      <c r="E315" s="1">
        <v>45766</v>
      </c>
      <c r="F315" s="1">
        <v>45768</v>
      </c>
      <c r="G315" t="s">
        <v>12</v>
      </c>
      <c r="H315">
        <v>0</v>
      </c>
    </row>
    <row r="316" spans="1:8" x14ac:dyDescent="0.3">
      <c r="A316" t="s">
        <v>656</v>
      </c>
      <c r="B316" t="s">
        <v>657</v>
      </c>
      <c r="C316" t="s">
        <v>28</v>
      </c>
      <c r="D316" t="s">
        <v>15</v>
      </c>
      <c r="E316" s="1">
        <v>45806</v>
      </c>
      <c r="F316" s="1">
        <v>45809</v>
      </c>
      <c r="G316" t="s">
        <v>31</v>
      </c>
      <c r="H316">
        <v>0</v>
      </c>
    </row>
    <row r="317" spans="1:8" x14ac:dyDescent="0.3">
      <c r="A317" t="s">
        <v>658</v>
      </c>
      <c r="B317" t="s">
        <v>659</v>
      </c>
      <c r="C317" t="s">
        <v>10</v>
      </c>
      <c r="D317" t="s">
        <v>65</v>
      </c>
      <c r="E317" s="1">
        <v>45887</v>
      </c>
      <c r="F317" s="1">
        <v>45898</v>
      </c>
      <c r="G317" t="s">
        <v>12</v>
      </c>
      <c r="H317">
        <v>0</v>
      </c>
    </row>
    <row r="318" spans="1:8" x14ac:dyDescent="0.3">
      <c r="A318" t="s">
        <v>660</v>
      </c>
      <c r="B318" t="s">
        <v>661</v>
      </c>
      <c r="C318" t="s">
        <v>22</v>
      </c>
      <c r="D318" t="s">
        <v>15</v>
      </c>
      <c r="E318" s="1">
        <v>45745</v>
      </c>
      <c r="F318" s="1">
        <v>45760</v>
      </c>
      <c r="G318" t="s">
        <v>16</v>
      </c>
      <c r="H318">
        <v>0</v>
      </c>
    </row>
    <row r="319" spans="1:8" x14ac:dyDescent="0.3">
      <c r="A319" t="s">
        <v>662</v>
      </c>
      <c r="B319" t="s">
        <v>663</v>
      </c>
      <c r="C319" t="s">
        <v>19</v>
      </c>
      <c r="D319" t="s">
        <v>11</v>
      </c>
      <c r="E319" s="1">
        <v>45691</v>
      </c>
      <c r="F319" s="1">
        <v>45694</v>
      </c>
      <c r="G319" t="s">
        <v>31</v>
      </c>
      <c r="H319">
        <v>0</v>
      </c>
    </row>
    <row r="320" spans="1:8" x14ac:dyDescent="0.3">
      <c r="A320" t="s">
        <v>664</v>
      </c>
      <c r="B320" t="s">
        <v>665</v>
      </c>
      <c r="C320" t="s">
        <v>19</v>
      </c>
      <c r="D320" t="s">
        <v>40</v>
      </c>
      <c r="E320" s="1">
        <v>45890</v>
      </c>
      <c r="F320" s="1">
        <v>45894</v>
      </c>
      <c r="G320" t="s">
        <v>12</v>
      </c>
      <c r="H320">
        <v>243</v>
      </c>
    </row>
    <row r="321" spans="1:8" x14ac:dyDescent="0.3">
      <c r="A321" t="s">
        <v>666</v>
      </c>
      <c r="B321" t="s">
        <v>667</v>
      </c>
      <c r="C321" t="s">
        <v>28</v>
      </c>
      <c r="D321" t="s">
        <v>40</v>
      </c>
      <c r="E321" s="1">
        <v>45891</v>
      </c>
      <c r="F321" s="1">
        <v>45894</v>
      </c>
      <c r="G321" t="s">
        <v>107</v>
      </c>
      <c r="H321">
        <v>0</v>
      </c>
    </row>
    <row r="322" spans="1:8" x14ac:dyDescent="0.3">
      <c r="A322" t="s">
        <v>668</v>
      </c>
      <c r="B322" t="s">
        <v>669</v>
      </c>
      <c r="C322" t="s">
        <v>22</v>
      </c>
      <c r="D322" t="s">
        <v>40</v>
      </c>
      <c r="E322" s="1">
        <v>45691</v>
      </c>
      <c r="F322" s="1">
        <v>45705</v>
      </c>
      <c r="G322" t="s">
        <v>31</v>
      </c>
      <c r="H322">
        <v>0</v>
      </c>
    </row>
    <row r="323" spans="1:8" x14ac:dyDescent="0.3">
      <c r="A323" t="s">
        <v>670</v>
      </c>
      <c r="B323" t="s">
        <v>671</v>
      </c>
      <c r="C323" t="s">
        <v>28</v>
      </c>
      <c r="D323" t="s">
        <v>40</v>
      </c>
      <c r="E323" s="1">
        <v>45677</v>
      </c>
      <c r="G323" t="s">
        <v>110</v>
      </c>
      <c r="H323">
        <v>0</v>
      </c>
    </row>
    <row r="324" spans="1:8" x14ac:dyDescent="0.3">
      <c r="A324" t="s">
        <v>672</v>
      </c>
      <c r="B324" t="s">
        <v>673</v>
      </c>
      <c r="C324" t="s">
        <v>22</v>
      </c>
      <c r="D324" t="s">
        <v>11</v>
      </c>
      <c r="E324" s="1">
        <v>45797</v>
      </c>
      <c r="F324" s="1">
        <v>45810</v>
      </c>
      <c r="G324" t="s">
        <v>31</v>
      </c>
      <c r="H324">
        <v>0</v>
      </c>
    </row>
    <row r="325" spans="1:8" x14ac:dyDescent="0.3">
      <c r="A325" t="s">
        <v>674</v>
      </c>
      <c r="B325" t="s">
        <v>675</v>
      </c>
      <c r="C325" t="s">
        <v>10</v>
      </c>
      <c r="D325" t="s">
        <v>11</v>
      </c>
      <c r="E325" s="1">
        <v>45865</v>
      </c>
      <c r="F325" s="1">
        <v>45880</v>
      </c>
      <c r="G325" t="s">
        <v>110</v>
      </c>
      <c r="H325">
        <v>0</v>
      </c>
    </row>
    <row r="326" spans="1:8" x14ac:dyDescent="0.3">
      <c r="A326" t="s">
        <v>676</v>
      </c>
      <c r="B326" t="s">
        <v>677</v>
      </c>
      <c r="C326" t="s">
        <v>113</v>
      </c>
      <c r="D326" t="s">
        <v>15</v>
      </c>
      <c r="E326" s="1">
        <v>45773</v>
      </c>
      <c r="F326" s="1">
        <v>45779</v>
      </c>
      <c r="G326" t="s">
        <v>16</v>
      </c>
      <c r="H326">
        <v>0</v>
      </c>
    </row>
    <row r="327" spans="1:8" x14ac:dyDescent="0.3">
      <c r="A327" t="s">
        <v>678</v>
      </c>
      <c r="B327" t="s">
        <v>679</v>
      </c>
      <c r="C327" t="s">
        <v>113</v>
      </c>
      <c r="D327" t="s">
        <v>11</v>
      </c>
      <c r="E327" s="1">
        <v>45753</v>
      </c>
      <c r="F327" s="1">
        <v>45761</v>
      </c>
      <c r="G327" t="s">
        <v>110</v>
      </c>
      <c r="H327">
        <v>0</v>
      </c>
    </row>
    <row r="328" spans="1:8" x14ac:dyDescent="0.3">
      <c r="A328" t="s">
        <v>680</v>
      </c>
      <c r="B328" t="s">
        <v>681</v>
      </c>
      <c r="C328" t="s">
        <v>28</v>
      </c>
      <c r="D328" t="s">
        <v>15</v>
      </c>
      <c r="E328" s="1">
        <v>45708</v>
      </c>
      <c r="F328" s="1">
        <v>45714</v>
      </c>
      <c r="G328" t="s">
        <v>110</v>
      </c>
      <c r="H328">
        <v>0</v>
      </c>
    </row>
    <row r="329" spans="1:8" x14ac:dyDescent="0.3">
      <c r="A329" t="s">
        <v>682</v>
      </c>
      <c r="B329" t="s">
        <v>683</v>
      </c>
      <c r="C329" t="s">
        <v>19</v>
      </c>
      <c r="D329" t="s">
        <v>65</v>
      </c>
      <c r="E329" s="1">
        <v>45893</v>
      </c>
      <c r="F329" s="1">
        <v>45894</v>
      </c>
      <c r="G329" t="s">
        <v>16</v>
      </c>
      <c r="H329">
        <v>0</v>
      </c>
    </row>
    <row r="330" spans="1:8" x14ac:dyDescent="0.3">
      <c r="A330" t="s">
        <v>684</v>
      </c>
      <c r="B330" t="s">
        <v>685</v>
      </c>
      <c r="C330" t="s">
        <v>28</v>
      </c>
      <c r="D330" t="s">
        <v>40</v>
      </c>
      <c r="E330" s="1">
        <v>45883</v>
      </c>
      <c r="F330" s="1">
        <v>45886</v>
      </c>
      <c r="G330" t="s">
        <v>31</v>
      </c>
      <c r="H330">
        <v>0</v>
      </c>
    </row>
    <row r="331" spans="1:8" x14ac:dyDescent="0.3">
      <c r="A331" t="s">
        <v>686</v>
      </c>
      <c r="B331" t="s">
        <v>687</v>
      </c>
      <c r="C331" t="s">
        <v>10</v>
      </c>
      <c r="D331" t="s">
        <v>40</v>
      </c>
      <c r="E331" s="1">
        <v>45669</v>
      </c>
      <c r="F331" s="1">
        <v>45677</v>
      </c>
      <c r="G331" t="s">
        <v>12</v>
      </c>
      <c r="H331">
        <v>51</v>
      </c>
    </row>
    <row r="332" spans="1:8" x14ac:dyDescent="0.3">
      <c r="A332" t="s">
        <v>688</v>
      </c>
      <c r="B332" t="s">
        <v>689</v>
      </c>
      <c r="C332" t="s">
        <v>113</v>
      </c>
      <c r="D332" t="s">
        <v>11</v>
      </c>
      <c r="E332" s="1">
        <v>45938</v>
      </c>
      <c r="F332" s="1">
        <v>45940</v>
      </c>
      <c r="G332" t="s">
        <v>12</v>
      </c>
      <c r="H332">
        <v>0</v>
      </c>
    </row>
    <row r="333" spans="1:8" x14ac:dyDescent="0.3">
      <c r="A333" t="s">
        <v>690</v>
      </c>
      <c r="B333" t="s">
        <v>691</v>
      </c>
      <c r="C333" t="s">
        <v>19</v>
      </c>
      <c r="D333" t="s">
        <v>11</v>
      </c>
      <c r="E333" s="1">
        <v>45821</v>
      </c>
      <c r="F333" s="1">
        <v>45835</v>
      </c>
      <c r="G333" t="s">
        <v>12</v>
      </c>
      <c r="H333">
        <v>0</v>
      </c>
    </row>
    <row r="334" spans="1:8" x14ac:dyDescent="0.3">
      <c r="A334" t="s">
        <v>692</v>
      </c>
      <c r="B334" t="s">
        <v>693</v>
      </c>
      <c r="C334" t="s">
        <v>10</v>
      </c>
      <c r="D334" t="s">
        <v>40</v>
      </c>
      <c r="E334" s="1">
        <v>45915</v>
      </c>
      <c r="F334" s="1">
        <v>45930</v>
      </c>
      <c r="G334" t="s">
        <v>16</v>
      </c>
      <c r="H334">
        <v>0</v>
      </c>
    </row>
    <row r="335" spans="1:8" x14ac:dyDescent="0.3">
      <c r="A335" t="s">
        <v>694</v>
      </c>
      <c r="B335" t="s">
        <v>695</v>
      </c>
      <c r="C335" t="s">
        <v>19</v>
      </c>
      <c r="D335" t="s">
        <v>15</v>
      </c>
      <c r="E335" s="1">
        <v>45932</v>
      </c>
      <c r="G335" t="s">
        <v>107</v>
      </c>
      <c r="H335">
        <v>0</v>
      </c>
    </row>
    <row r="336" spans="1:8" x14ac:dyDescent="0.3">
      <c r="A336" t="s">
        <v>696</v>
      </c>
      <c r="B336" t="s">
        <v>697</v>
      </c>
      <c r="C336" t="s">
        <v>28</v>
      </c>
      <c r="D336" t="s">
        <v>65</v>
      </c>
      <c r="E336" s="1">
        <v>45735</v>
      </c>
      <c r="F336" s="1">
        <v>45738</v>
      </c>
      <c r="G336" t="s">
        <v>16</v>
      </c>
      <c r="H336">
        <v>0</v>
      </c>
    </row>
    <row r="337" spans="1:8" x14ac:dyDescent="0.3">
      <c r="A337" t="s">
        <v>698</v>
      </c>
      <c r="B337" t="s">
        <v>699</v>
      </c>
      <c r="C337" t="s">
        <v>113</v>
      </c>
      <c r="D337" t="s">
        <v>65</v>
      </c>
      <c r="E337" s="1">
        <v>45944</v>
      </c>
      <c r="F337" s="1">
        <v>45957</v>
      </c>
      <c r="G337" t="s">
        <v>12</v>
      </c>
      <c r="H337">
        <v>226</v>
      </c>
    </row>
    <row r="338" spans="1:8" x14ac:dyDescent="0.3">
      <c r="A338" t="s">
        <v>700</v>
      </c>
      <c r="B338" t="s">
        <v>701</v>
      </c>
      <c r="C338" t="s">
        <v>19</v>
      </c>
      <c r="D338" t="s">
        <v>15</v>
      </c>
      <c r="E338" s="1">
        <v>45773</v>
      </c>
      <c r="F338" s="1">
        <v>45787</v>
      </c>
      <c r="G338" t="s">
        <v>16</v>
      </c>
      <c r="H338">
        <v>0</v>
      </c>
    </row>
    <row r="339" spans="1:8" x14ac:dyDescent="0.3">
      <c r="A339" t="s">
        <v>702</v>
      </c>
      <c r="B339" t="s">
        <v>703</v>
      </c>
      <c r="C339" t="s">
        <v>10</v>
      </c>
      <c r="D339" t="s">
        <v>15</v>
      </c>
      <c r="E339" s="1">
        <v>45882</v>
      </c>
      <c r="G339" t="s">
        <v>16</v>
      </c>
      <c r="H339">
        <v>0</v>
      </c>
    </row>
    <row r="340" spans="1:8" x14ac:dyDescent="0.3">
      <c r="A340" t="s">
        <v>704</v>
      </c>
      <c r="B340" t="s">
        <v>705</v>
      </c>
      <c r="C340" t="s">
        <v>113</v>
      </c>
      <c r="D340" t="s">
        <v>11</v>
      </c>
      <c r="E340" s="1">
        <v>45789</v>
      </c>
      <c r="F340" s="1">
        <v>45802</v>
      </c>
      <c r="G340" t="s">
        <v>31</v>
      </c>
      <c r="H340">
        <v>0</v>
      </c>
    </row>
    <row r="341" spans="1:8" x14ac:dyDescent="0.3">
      <c r="A341" t="s">
        <v>706</v>
      </c>
      <c r="B341" t="s">
        <v>707</v>
      </c>
      <c r="C341" t="s">
        <v>113</v>
      </c>
      <c r="D341" t="s">
        <v>11</v>
      </c>
      <c r="E341" s="1">
        <v>45882</v>
      </c>
      <c r="F341" s="1">
        <v>45894</v>
      </c>
      <c r="G341" t="s">
        <v>12</v>
      </c>
      <c r="H341">
        <v>170</v>
      </c>
    </row>
    <row r="342" spans="1:8" x14ac:dyDescent="0.3">
      <c r="A342" t="s">
        <v>708</v>
      </c>
      <c r="B342" t="s">
        <v>709</v>
      </c>
      <c r="C342" t="s">
        <v>10</v>
      </c>
      <c r="D342" t="s">
        <v>65</v>
      </c>
      <c r="E342" s="1">
        <v>45678</v>
      </c>
      <c r="F342" s="1">
        <v>45681</v>
      </c>
      <c r="G342" t="s">
        <v>107</v>
      </c>
      <c r="H342">
        <v>0</v>
      </c>
    </row>
    <row r="343" spans="1:8" x14ac:dyDescent="0.3">
      <c r="A343" t="s">
        <v>710</v>
      </c>
      <c r="B343" t="s">
        <v>711</v>
      </c>
      <c r="C343" t="s">
        <v>10</v>
      </c>
      <c r="D343" t="s">
        <v>15</v>
      </c>
      <c r="E343" s="1">
        <v>45845</v>
      </c>
      <c r="F343" s="1">
        <v>45859</v>
      </c>
      <c r="G343" t="s">
        <v>107</v>
      </c>
      <c r="H343">
        <v>0</v>
      </c>
    </row>
    <row r="344" spans="1:8" x14ac:dyDescent="0.3">
      <c r="A344" t="s">
        <v>712</v>
      </c>
      <c r="B344" t="s">
        <v>713</v>
      </c>
      <c r="C344" t="s">
        <v>28</v>
      </c>
      <c r="D344" t="s">
        <v>11</v>
      </c>
      <c r="E344" s="1">
        <v>45918</v>
      </c>
      <c r="F344" s="1">
        <v>45919</v>
      </c>
      <c r="G344" t="s">
        <v>110</v>
      </c>
      <c r="H344">
        <v>0</v>
      </c>
    </row>
    <row r="345" spans="1:8" x14ac:dyDescent="0.3">
      <c r="A345" t="s">
        <v>714</v>
      </c>
      <c r="B345" t="s">
        <v>715</v>
      </c>
      <c r="C345" t="s">
        <v>10</v>
      </c>
      <c r="D345" t="s">
        <v>15</v>
      </c>
      <c r="E345" s="1">
        <v>45789</v>
      </c>
      <c r="F345" s="1">
        <v>45793</v>
      </c>
      <c r="G345" t="s">
        <v>16</v>
      </c>
      <c r="H345">
        <v>0</v>
      </c>
    </row>
    <row r="346" spans="1:8" x14ac:dyDescent="0.3">
      <c r="A346" t="s">
        <v>716</v>
      </c>
      <c r="B346" t="s">
        <v>717</v>
      </c>
      <c r="C346" t="s">
        <v>28</v>
      </c>
      <c r="D346" t="s">
        <v>40</v>
      </c>
      <c r="E346" s="1">
        <v>45826</v>
      </c>
      <c r="F346" s="1">
        <v>45826</v>
      </c>
      <c r="G346" t="s">
        <v>110</v>
      </c>
      <c r="H346">
        <v>0</v>
      </c>
    </row>
    <row r="347" spans="1:8" x14ac:dyDescent="0.3">
      <c r="A347" t="s">
        <v>718</v>
      </c>
      <c r="B347" t="s">
        <v>719</v>
      </c>
      <c r="C347" t="s">
        <v>10</v>
      </c>
      <c r="D347" t="s">
        <v>65</v>
      </c>
      <c r="E347" s="1">
        <v>45687</v>
      </c>
      <c r="F347" s="1">
        <v>45697</v>
      </c>
      <c r="G347" t="s">
        <v>31</v>
      </c>
      <c r="H347">
        <v>0</v>
      </c>
    </row>
    <row r="348" spans="1:8" x14ac:dyDescent="0.3">
      <c r="A348" t="s">
        <v>720</v>
      </c>
      <c r="B348" t="s">
        <v>721</v>
      </c>
      <c r="C348" t="s">
        <v>28</v>
      </c>
      <c r="D348" t="s">
        <v>65</v>
      </c>
      <c r="E348" s="1">
        <v>45707</v>
      </c>
      <c r="F348" s="1">
        <v>45713</v>
      </c>
      <c r="G348" t="s">
        <v>16</v>
      </c>
      <c r="H348">
        <v>0</v>
      </c>
    </row>
    <row r="349" spans="1:8" x14ac:dyDescent="0.3">
      <c r="A349" t="s">
        <v>722</v>
      </c>
      <c r="B349" t="s">
        <v>723</v>
      </c>
      <c r="C349" t="s">
        <v>113</v>
      </c>
      <c r="D349" t="s">
        <v>15</v>
      </c>
      <c r="E349" s="1">
        <v>45877</v>
      </c>
      <c r="F349" s="1">
        <v>45885</v>
      </c>
      <c r="G349" t="s">
        <v>31</v>
      </c>
      <c r="H349">
        <v>0</v>
      </c>
    </row>
    <row r="350" spans="1:8" x14ac:dyDescent="0.3">
      <c r="A350" t="s">
        <v>724</v>
      </c>
      <c r="B350" t="s">
        <v>725</v>
      </c>
      <c r="C350" t="s">
        <v>22</v>
      </c>
      <c r="D350" t="s">
        <v>40</v>
      </c>
      <c r="E350" s="1">
        <v>45814</v>
      </c>
      <c r="F350" s="1">
        <v>45823</v>
      </c>
      <c r="G350" t="s">
        <v>110</v>
      </c>
      <c r="H350">
        <v>0</v>
      </c>
    </row>
    <row r="351" spans="1:8" x14ac:dyDescent="0.3">
      <c r="A351" t="s">
        <v>726</v>
      </c>
      <c r="B351" t="s">
        <v>727</v>
      </c>
      <c r="C351" t="s">
        <v>28</v>
      </c>
      <c r="D351" t="s">
        <v>11</v>
      </c>
      <c r="E351" s="1">
        <v>45823</v>
      </c>
      <c r="F351" s="1">
        <v>45838</v>
      </c>
      <c r="G351" t="s">
        <v>12</v>
      </c>
      <c r="H351">
        <v>0</v>
      </c>
    </row>
    <row r="352" spans="1:8" x14ac:dyDescent="0.3">
      <c r="A352" t="s">
        <v>728</v>
      </c>
      <c r="B352" t="s">
        <v>729</v>
      </c>
      <c r="C352" t="s">
        <v>10</v>
      </c>
      <c r="D352" t="s">
        <v>65</v>
      </c>
      <c r="E352" s="1">
        <v>45716</v>
      </c>
      <c r="F352" s="1">
        <v>45730</v>
      </c>
      <c r="G352" t="s">
        <v>107</v>
      </c>
      <c r="H352">
        <v>0</v>
      </c>
    </row>
    <row r="353" spans="1:8" x14ac:dyDescent="0.3">
      <c r="A353" t="s">
        <v>730</v>
      </c>
      <c r="B353" t="s">
        <v>731</v>
      </c>
      <c r="C353" t="s">
        <v>19</v>
      </c>
      <c r="D353" t="s">
        <v>40</v>
      </c>
      <c r="E353" s="1">
        <v>45684</v>
      </c>
      <c r="G353" t="s">
        <v>107</v>
      </c>
      <c r="H353">
        <v>0</v>
      </c>
    </row>
    <row r="354" spans="1:8" x14ac:dyDescent="0.3">
      <c r="A354" t="s">
        <v>732</v>
      </c>
      <c r="B354" t="s">
        <v>733</v>
      </c>
      <c r="C354" t="s">
        <v>19</v>
      </c>
      <c r="D354" t="s">
        <v>15</v>
      </c>
      <c r="E354" s="1">
        <v>45727</v>
      </c>
      <c r="F354" s="1">
        <v>45728</v>
      </c>
      <c r="G354" t="s">
        <v>12</v>
      </c>
      <c r="H354">
        <v>95</v>
      </c>
    </row>
    <row r="355" spans="1:8" x14ac:dyDescent="0.3">
      <c r="A355" t="s">
        <v>734</v>
      </c>
      <c r="B355" t="s">
        <v>735</v>
      </c>
      <c r="C355" t="s">
        <v>113</v>
      </c>
      <c r="D355" t="s">
        <v>11</v>
      </c>
      <c r="E355" s="1">
        <v>45692</v>
      </c>
      <c r="G355" t="s">
        <v>16</v>
      </c>
      <c r="H355">
        <v>0</v>
      </c>
    </row>
    <row r="356" spans="1:8" x14ac:dyDescent="0.3">
      <c r="A356" t="s">
        <v>736</v>
      </c>
      <c r="B356" t="s">
        <v>737</v>
      </c>
      <c r="C356" t="s">
        <v>10</v>
      </c>
      <c r="D356" t="s">
        <v>11</v>
      </c>
      <c r="E356" s="1">
        <v>45848</v>
      </c>
      <c r="F356" s="1">
        <v>45854</v>
      </c>
      <c r="G356" t="s">
        <v>110</v>
      </c>
      <c r="H356">
        <v>0</v>
      </c>
    </row>
    <row r="357" spans="1:8" x14ac:dyDescent="0.3">
      <c r="A357" t="s">
        <v>738</v>
      </c>
      <c r="B357" t="s">
        <v>739</v>
      </c>
      <c r="C357" t="s">
        <v>113</v>
      </c>
      <c r="D357" t="s">
        <v>40</v>
      </c>
      <c r="E357" s="1">
        <v>45772</v>
      </c>
      <c r="F357" s="1">
        <v>45781</v>
      </c>
      <c r="G357" t="s">
        <v>110</v>
      </c>
      <c r="H357">
        <v>0</v>
      </c>
    </row>
    <row r="358" spans="1:8" x14ac:dyDescent="0.3">
      <c r="A358" t="s">
        <v>740</v>
      </c>
      <c r="B358" t="s">
        <v>741</v>
      </c>
      <c r="C358" t="s">
        <v>113</v>
      </c>
      <c r="D358" t="s">
        <v>40</v>
      </c>
      <c r="E358" s="1">
        <v>45957</v>
      </c>
      <c r="F358" s="1">
        <v>45960</v>
      </c>
      <c r="G358" t="s">
        <v>31</v>
      </c>
      <c r="H358">
        <v>0</v>
      </c>
    </row>
    <row r="359" spans="1:8" x14ac:dyDescent="0.3">
      <c r="A359" t="s">
        <v>742</v>
      </c>
      <c r="B359" t="s">
        <v>743</v>
      </c>
      <c r="C359" t="s">
        <v>19</v>
      </c>
      <c r="D359" t="s">
        <v>40</v>
      </c>
      <c r="E359" s="1">
        <v>45895</v>
      </c>
      <c r="G359" t="s">
        <v>16</v>
      </c>
      <c r="H359">
        <v>0</v>
      </c>
    </row>
    <row r="360" spans="1:8" x14ac:dyDescent="0.3">
      <c r="A360" t="s">
        <v>744</v>
      </c>
      <c r="B360" t="s">
        <v>745</v>
      </c>
      <c r="C360" t="s">
        <v>28</v>
      </c>
      <c r="D360" t="s">
        <v>40</v>
      </c>
      <c r="E360" s="1">
        <v>45840</v>
      </c>
      <c r="F360" s="1">
        <v>45841</v>
      </c>
      <c r="G360" t="s">
        <v>12</v>
      </c>
      <c r="H360">
        <v>252</v>
      </c>
    </row>
    <row r="361" spans="1:8" x14ac:dyDescent="0.3">
      <c r="A361" t="s">
        <v>746</v>
      </c>
      <c r="B361" t="s">
        <v>747</v>
      </c>
      <c r="C361" t="s">
        <v>10</v>
      </c>
      <c r="D361" t="s">
        <v>11</v>
      </c>
      <c r="E361" s="1">
        <v>45941</v>
      </c>
      <c r="F361" s="1">
        <v>45954</v>
      </c>
      <c r="G361" t="s">
        <v>31</v>
      </c>
      <c r="H361">
        <v>0</v>
      </c>
    </row>
    <row r="362" spans="1:8" x14ac:dyDescent="0.3">
      <c r="A362" t="s">
        <v>748</v>
      </c>
      <c r="B362" t="s">
        <v>749</v>
      </c>
      <c r="C362" t="s">
        <v>28</v>
      </c>
      <c r="D362" t="s">
        <v>65</v>
      </c>
      <c r="E362" s="1">
        <v>45842</v>
      </c>
      <c r="F362" s="1">
        <v>45856</v>
      </c>
      <c r="G362" t="s">
        <v>16</v>
      </c>
      <c r="H362">
        <v>0</v>
      </c>
    </row>
    <row r="363" spans="1:8" x14ac:dyDescent="0.3">
      <c r="A363" t="s">
        <v>750</v>
      </c>
      <c r="B363" t="s">
        <v>751</v>
      </c>
      <c r="C363" t="s">
        <v>22</v>
      </c>
      <c r="D363" t="s">
        <v>11</v>
      </c>
      <c r="E363" s="1">
        <v>45688</v>
      </c>
      <c r="F363" s="1">
        <v>45696</v>
      </c>
      <c r="G363" t="s">
        <v>110</v>
      </c>
      <c r="H363">
        <v>0</v>
      </c>
    </row>
    <row r="364" spans="1:8" x14ac:dyDescent="0.3">
      <c r="A364" t="s">
        <v>752</v>
      </c>
      <c r="B364" t="s">
        <v>753</v>
      </c>
      <c r="C364" t="s">
        <v>19</v>
      </c>
      <c r="D364" t="s">
        <v>15</v>
      </c>
      <c r="E364" s="1">
        <v>45763</v>
      </c>
      <c r="F364" s="1">
        <v>45777</v>
      </c>
      <c r="G364" t="s">
        <v>107</v>
      </c>
      <c r="H364">
        <v>0</v>
      </c>
    </row>
    <row r="365" spans="1:8" x14ac:dyDescent="0.3">
      <c r="A365" t="s">
        <v>754</v>
      </c>
      <c r="B365" t="s">
        <v>755</v>
      </c>
      <c r="C365" t="s">
        <v>113</v>
      </c>
      <c r="D365" t="s">
        <v>65</v>
      </c>
      <c r="E365" s="1">
        <v>45714</v>
      </c>
      <c r="F365" s="1">
        <v>45714</v>
      </c>
      <c r="G365" t="s">
        <v>110</v>
      </c>
      <c r="H365">
        <v>0</v>
      </c>
    </row>
    <row r="366" spans="1:8" x14ac:dyDescent="0.3">
      <c r="A366" t="s">
        <v>756</v>
      </c>
      <c r="B366" t="s">
        <v>757</v>
      </c>
      <c r="C366" t="s">
        <v>22</v>
      </c>
      <c r="D366" t="s">
        <v>65</v>
      </c>
      <c r="E366" s="1">
        <v>45898</v>
      </c>
      <c r="F366" s="1">
        <v>45901</v>
      </c>
      <c r="G366" t="s">
        <v>31</v>
      </c>
      <c r="H366">
        <v>0</v>
      </c>
    </row>
    <row r="367" spans="1:8" x14ac:dyDescent="0.3">
      <c r="A367" t="s">
        <v>758</v>
      </c>
      <c r="B367" t="s">
        <v>759</v>
      </c>
      <c r="C367" t="s">
        <v>113</v>
      </c>
      <c r="D367" t="s">
        <v>40</v>
      </c>
      <c r="E367" s="1">
        <v>45712</v>
      </c>
      <c r="F367" s="1">
        <v>45719</v>
      </c>
      <c r="G367" t="s">
        <v>31</v>
      </c>
      <c r="H367">
        <v>0</v>
      </c>
    </row>
    <row r="368" spans="1:8" x14ac:dyDescent="0.3">
      <c r="A368" t="s">
        <v>760</v>
      </c>
      <c r="B368" t="s">
        <v>761</v>
      </c>
      <c r="C368" t="s">
        <v>10</v>
      </c>
      <c r="D368" t="s">
        <v>15</v>
      </c>
      <c r="E368" s="1">
        <v>45793</v>
      </c>
      <c r="F368" s="1">
        <v>45805</v>
      </c>
      <c r="G368" t="s">
        <v>16</v>
      </c>
      <c r="H368">
        <v>0</v>
      </c>
    </row>
    <row r="369" spans="1:8" x14ac:dyDescent="0.3">
      <c r="A369" t="s">
        <v>762</v>
      </c>
      <c r="B369" t="s">
        <v>763</v>
      </c>
      <c r="C369" t="s">
        <v>28</v>
      </c>
      <c r="D369" t="s">
        <v>11</v>
      </c>
      <c r="E369" s="1">
        <v>45750</v>
      </c>
      <c r="F369" s="1">
        <v>45757</v>
      </c>
      <c r="G369" t="s">
        <v>107</v>
      </c>
      <c r="H369">
        <v>0</v>
      </c>
    </row>
    <row r="370" spans="1:8" x14ac:dyDescent="0.3">
      <c r="A370" t="s">
        <v>764</v>
      </c>
      <c r="B370" t="s">
        <v>765</v>
      </c>
      <c r="C370" t="s">
        <v>113</v>
      </c>
      <c r="D370" t="s">
        <v>65</v>
      </c>
      <c r="E370" s="1">
        <v>45684</v>
      </c>
      <c r="F370" s="1">
        <v>45684</v>
      </c>
      <c r="G370" t="s">
        <v>12</v>
      </c>
      <c r="H370">
        <v>0</v>
      </c>
    </row>
    <row r="371" spans="1:8" x14ac:dyDescent="0.3">
      <c r="A371" t="s">
        <v>766</v>
      </c>
      <c r="B371" t="s">
        <v>767</v>
      </c>
      <c r="C371" t="s">
        <v>10</v>
      </c>
      <c r="D371" t="s">
        <v>11</v>
      </c>
      <c r="E371" s="1">
        <v>45809</v>
      </c>
      <c r="F371" s="1">
        <v>45812</v>
      </c>
      <c r="G371" t="s">
        <v>110</v>
      </c>
      <c r="H371">
        <v>0</v>
      </c>
    </row>
    <row r="372" spans="1:8" x14ac:dyDescent="0.3">
      <c r="A372" t="s">
        <v>768</v>
      </c>
      <c r="B372" t="s">
        <v>769</v>
      </c>
      <c r="C372" t="s">
        <v>10</v>
      </c>
      <c r="D372" t="s">
        <v>11</v>
      </c>
      <c r="E372" s="1">
        <v>45923</v>
      </c>
      <c r="G372" t="s">
        <v>110</v>
      </c>
      <c r="H372">
        <v>0</v>
      </c>
    </row>
    <row r="373" spans="1:8" x14ac:dyDescent="0.3">
      <c r="A373" t="s">
        <v>770</v>
      </c>
      <c r="B373" t="s">
        <v>771</v>
      </c>
      <c r="C373" t="s">
        <v>113</v>
      </c>
      <c r="D373" t="s">
        <v>11</v>
      </c>
      <c r="E373" s="1">
        <v>45670</v>
      </c>
      <c r="F373" s="1">
        <v>45670</v>
      </c>
      <c r="G373" t="s">
        <v>12</v>
      </c>
      <c r="H373">
        <v>178</v>
      </c>
    </row>
    <row r="374" spans="1:8" x14ac:dyDescent="0.3">
      <c r="A374" t="s">
        <v>772</v>
      </c>
      <c r="B374" t="s">
        <v>773</v>
      </c>
      <c r="C374" t="s">
        <v>113</v>
      </c>
      <c r="D374" t="s">
        <v>65</v>
      </c>
      <c r="E374" s="1">
        <v>45920</v>
      </c>
      <c r="F374" s="1">
        <v>45921</v>
      </c>
      <c r="G374" t="s">
        <v>16</v>
      </c>
      <c r="H374">
        <v>0</v>
      </c>
    </row>
    <row r="375" spans="1:8" x14ac:dyDescent="0.3">
      <c r="A375" t="s">
        <v>774</v>
      </c>
      <c r="B375" t="s">
        <v>775</v>
      </c>
      <c r="C375" t="s">
        <v>10</v>
      </c>
      <c r="D375" t="s">
        <v>40</v>
      </c>
      <c r="E375" s="1">
        <v>45953</v>
      </c>
      <c r="G375" t="s">
        <v>12</v>
      </c>
      <c r="H375">
        <v>0</v>
      </c>
    </row>
    <row r="376" spans="1:8" x14ac:dyDescent="0.3">
      <c r="A376" t="s">
        <v>776</v>
      </c>
      <c r="B376" t="s">
        <v>777</v>
      </c>
      <c r="C376" t="s">
        <v>22</v>
      </c>
      <c r="D376" t="s">
        <v>40</v>
      </c>
      <c r="E376" s="1">
        <v>45827</v>
      </c>
      <c r="F376" s="1">
        <v>45833</v>
      </c>
      <c r="G376" t="s">
        <v>107</v>
      </c>
      <c r="H376">
        <v>0</v>
      </c>
    </row>
    <row r="377" spans="1:8" x14ac:dyDescent="0.3">
      <c r="A377" t="s">
        <v>778</v>
      </c>
      <c r="B377" t="s">
        <v>779</v>
      </c>
      <c r="C377" t="s">
        <v>10</v>
      </c>
      <c r="D377" t="s">
        <v>40</v>
      </c>
      <c r="E377" s="1">
        <v>45923</v>
      </c>
      <c r="F377" s="1">
        <v>45932</v>
      </c>
      <c r="G377" t="s">
        <v>110</v>
      </c>
      <c r="H377">
        <v>0</v>
      </c>
    </row>
    <row r="378" spans="1:8" x14ac:dyDescent="0.3">
      <c r="A378" t="s">
        <v>780</v>
      </c>
      <c r="B378" t="s">
        <v>781</v>
      </c>
      <c r="C378" t="s">
        <v>113</v>
      </c>
      <c r="D378" t="s">
        <v>65</v>
      </c>
      <c r="E378" s="1">
        <v>45767</v>
      </c>
      <c r="G378" t="s">
        <v>16</v>
      </c>
      <c r="H378">
        <v>0</v>
      </c>
    </row>
    <row r="379" spans="1:8" x14ac:dyDescent="0.3">
      <c r="A379" t="s">
        <v>782</v>
      </c>
      <c r="B379" t="s">
        <v>783</v>
      </c>
      <c r="C379" t="s">
        <v>10</v>
      </c>
      <c r="D379" t="s">
        <v>11</v>
      </c>
      <c r="E379" s="1">
        <v>45784</v>
      </c>
      <c r="F379" s="1">
        <v>45799</v>
      </c>
      <c r="G379" t="s">
        <v>12</v>
      </c>
      <c r="H379">
        <v>0</v>
      </c>
    </row>
    <row r="380" spans="1:8" x14ac:dyDescent="0.3">
      <c r="A380" t="s">
        <v>784</v>
      </c>
      <c r="B380" t="s">
        <v>785</v>
      </c>
      <c r="C380" t="s">
        <v>28</v>
      </c>
      <c r="D380" t="s">
        <v>65</v>
      </c>
      <c r="E380" s="1">
        <v>45773</v>
      </c>
      <c r="G380" t="s">
        <v>12</v>
      </c>
      <c r="H380">
        <v>0</v>
      </c>
    </row>
    <row r="381" spans="1:8" x14ac:dyDescent="0.3">
      <c r="A381" t="s">
        <v>786</v>
      </c>
      <c r="B381" t="s">
        <v>787</v>
      </c>
      <c r="C381" t="s">
        <v>19</v>
      </c>
      <c r="D381" t="s">
        <v>11</v>
      </c>
      <c r="E381" s="1">
        <v>45781</v>
      </c>
      <c r="F381" s="1">
        <v>45785</v>
      </c>
      <c r="G381" t="s">
        <v>12</v>
      </c>
      <c r="H381">
        <v>187</v>
      </c>
    </row>
    <row r="382" spans="1:8" x14ac:dyDescent="0.3">
      <c r="A382" t="s">
        <v>788</v>
      </c>
      <c r="B382" t="s">
        <v>789</v>
      </c>
      <c r="C382" t="s">
        <v>113</v>
      </c>
      <c r="D382" t="s">
        <v>40</v>
      </c>
      <c r="E382" s="1">
        <v>45938</v>
      </c>
      <c r="F382" s="1">
        <v>45953</v>
      </c>
      <c r="G382" t="s">
        <v>110</v>
      </c>
      <c r="H382">
        <v>0</v>
      </c>
    </row>
    <row r="383" spans="1:8" x14ac:dyDescent="0.3">
      <c r="A383" t="s">
        <v>790</v>
      </c>
      <c r="B383" t="s">
        <v>791</v>
      </c>
      <c r="C383" t="s">
        <v>22</v>
      </c>
      <c r="D383" t="s">
        <v>40</v>
      </c>
      <c r="E383" s="1">
        <v>45773</v>
      </c>
      <c r="F383" s="1">
        <v>45778</v>
      </c>
      <c r="G383" t="s">
        <v>107</v>
      </c>
      <c r="H383">
        <v>0</v>
      </c>
    </row>
    <row r="384" spans="1:8" x14ac:dyDescent="0.3">
      <c r="A384" t="s">
        <v>792</v>
      </c>
      <c r="B384" t="s">
        <v>793</v>
      </c>
      <c r="C384" t="s">
        <v>10</v>
      </c>
      <c r="D384" t="s">
        <v>65</v>
      </c>
      <c r="E384" s="1">
        <v>45699</v>
      </c>
      <c r="G384" t="s">
        <v>16</v>
      </c>
      <c r="H384">
        <v>0</v>
      </c>
    </row>
    <row r="385" spans="1:8" x14ac:dyDescent="0.3">
      <c r="A385" t="s">
        <v>794</v>
      </c>
      <c r="B385" t="s">
        <v>795</v>
      </c>
      <c r="C385" t="s">
        <v>10</v>
      </c>
      <c r="D385" t="s">
        <v>15</v>
      </c>
      <c r="E385" s="1">
        <v>45762</v>
      </c>
      <c r="F385" s="1">
        <v>45777</v>
      </c>
      <c r="G385" t="s">
        <v>16</v>
      </c>
      <c r="H385">
        <v>0</v>
      </c>
    </row>
    <row r="386" spans="1:8" x14ac:dyDescent="0.3">
      <c r="A386" t="s">
        <v>796</v>
      </c>
      <c r="B386" t="s">
        <v>797</v>
      </c>
      <c r="C386" t="s">
        <v>10</v>
      </c>
      <c r="D386" t="s">
        <v>65</v>
      </c>
      <c r="E386" s="1">
        <v>45909</v>
      </c>
      <c r="F386" s="1">
        <v>45912</v>
      </c>
      <c r="G386" t="s">
        <v>107</v>
      </c>
      <c r="H386">
        <v>0</v>
      </c>
    </row>
    <row r="387" spans="1:8" x14ac:dyDescent="0.3">
      <c r="A387" t="s">
        <v>798</v>
      </c>
      <c r="B387" t="s">
        <v>799</v>
      </c>
      <c r="C387" t="s">
        <v>22</v>
      </c>
      <c r="D387" t="s">
        <v>15</v>
      </c>
      <c r="E387" s="1">
        <v>45810</v>
      </c>
      <c r="F387" s="1">
        <v>45825</v>
      </c>
      <c r="G387" t="s">
        <v>31</v>
      </c>
      <c r="H387">
        <v>0</v>
      </c>
    </row>
    <row r="388" spans="1:8" x14ac:dyDescent="0.3">
      <c r="A388" t="s">
        <v>800</v>
      </c>
      <c r="B388" t="s">
        <v>801</v>
      </c>
      <c r="C388" t="s">
        <v>19</v>
      </c>
      <c r="D388" t="s">
        <v>15</v>
      </c>
      <c r="E388" s="1">
        <v>45666</v>
      </c>
      <c r="F388" s="1">
        <v>45676</v>
      </c>
      <c r="G388" t="s">
        <v>12</v>
      </c>
      <c r="H388">
        <v>0</v>
      </c>
    </row>
    <row r="389" spans="1:8" x14ac:dyDescent="0.3">
      <c r="A389" t="s">
        <v>802</v>
      </c>
      <c r="B389" t="s">
        <v>803</v>
      </c>
      <c r="C389" t="s">
        <v>19</v>
      </c>
      <c r="D389" t="s">
        <v>65</v>
      </c>
      <c r="E389" s="1">
        <v>45810</v>
      </c>
      <c r="F389" s="1">
        <v>45823</v>
      </c>
      <c r="G389" t="s">
        <v>110</v>
      </c>
      <c r="H389">
        <v>0</v>
      </c>
    </row>
    <row r="390" spans="1:8" x14ac:dyDescent="0.3">
      <c r="A390" t="s">
        <v>804</v>
      </c>
      <c r="B390" t="s">
        <v>805</v>
      </c>
      <c r="C390" t="s">
        <v>113</v>
      </c>
      <c r="D390" t="s">
        <v>40</v>
      </c>
      <c r="E390" s="1">
        <v>45762</v>
      </c>
      <c r="F390" s="1">
        <v>45771</v>
      </c>
      <c r="G390" t="s">
        <v>31</v>
      </c>
      <c r="H390">
        <v>0</v>
      </c>
    </row>
    <row r="391" spans="1:8" x14ac:dyDescent="0.3">
      <c r="A391" t="s">
        <v>806</v>
      </c>
      <c r="B391" t="s">
        <v>807</v>
      </c>
      <c r="C391" t="s">
        <v>113</v>
      </c>
      <c r="D391" t="s">
        <v>11</v>
      </c>
      <c r="E391" s="1">
        <v>45773</v>
      </c>
      <c r="F391" s="1">
        <v>45779</v>
      </c>
      <c r="G391" t="s">
        <v>110</v>
      </c>
      <c r="H391">
        <v>0</v>
      </c>
    </row>
    <row r="392" spans="1:8" x14ac:dyDescent="0.3">
      <c r="A392" t="s">
        <v>808</v>
      </c>
      <c r="B392" t="s">
        <v>809</v>
      </c>
      <c r="C392" t="s">
        <v>28</v>
      </c>
      <c r="D392" t="s">
        <v>15</v>
      </c>
      <c r="E392" s="1">
        <v>45919</v>
      </c>
      <c r="G392" t="s">
        <v>12</v>
      </c>
      <c r="H392">
        <v>242</v>
      </c>
    </row>
    <row r="393" spans="1:8" x14ac:dyDescent="0.3">
      <c r="A393" t="s">
        <v>810</v>
      </c>
      <c r="B393" t="s">
        <v>811</v>
      </c>
      <c r="C393" t="s">
        <v>113</v>
      </c>
      <c r="D393" t="s">
        <v>11</v>
      </c>
      <c r="E393" s="1">
        <v>45906</v>
      </c>
      <c r="G393" t="s">
        <v>107</v>
      </c>
      <c r="H393">
        <v>0</v>
      </c>
    </row>
    <row r="394" spans="1:8" x14ac:dyDescent="0.3">
      <c r="A394" t="s">
        <v>812</v>
      </c>
      <c r="B394" t="s">
        <v>813</v>
      </c>
      <c r="C394" t="s">
        <v>10</v>
      </c>
      <c r="D394" t="s">
        <v>15</v>
      </c>
      <c r="E394" s="1">
        <v>45758</v>
      </c>
      <c r="F394" s="1">
        <v>45758</v>
      </c>
      <c r="G394" t="s">
        <v>110</v>
      </c>
      <c r="H394">
        <v>0</v>
      </c>
    </row>
    <row r="395" spans="1:8" x14ac:dyDescent="0.3">
      <c r="A395" t="s">
        <v>814</v>
      </c>
      <c r="B395" t="s">
        <v>815</v>
      </c>
      <c r="C395" t="s">
        <v>10</v>
      </c>
      <c r="D395" t="s">
        <v>11</v>
      </c>
      <c r="E395" s="1">
        <v>45919</v>
      </c>
      <c r="F395" s="1">
        <v>45927</v>
      </c>
      <c r="G395" t="s">
        <v>12</v>
      </c>
      <c r="H395">
        <v>0</v>
      </c>
    </row>
    <row r="396" spans="1:8" x14ac:dyDescent="0.3">
      <c r="A396" t="s">
        <v>816</v>
      </c>
      <c r="B396" t="s">
        <v>817</v>
      </c>
      <c r="C396" t="s">
        <v>22</v>
      </c>
      <c r="D396" t="s">
        <v>65</v>
      </c>
      <c r="E396" s="1">
        <v>45748</v>
      </c>
      <c r="F396" s="1">
        <v>45761</v>
      </c>
      <c r="G396" t="s">
        <v>31</v>
      </c>
      <c r="H396">
        <v>0</v>
      </c>
    </row>
    <row r="397" spans="1:8" x14ac:dyDescent="0.3">
      <c r="A397" t="s">
        <v>818</v>
      </c>
      <c r="B397" t="s">
        <v>819</v>
      </c>
      <c r="C397" t="s">
        <v>22</v>
      </c>
      <c r="D397" t="s">
        <v>15</v>
      </c>
      <c r="E397" s="1">
        <v>45906</v>
      </c>
      <c r="F397" s="1">
        <v>45915</v>
      </c>
      <c r="G397" t="s">
        <v>110</v>
      </c>
      <c r="H397">
        <v>0</v>
      </c>
    </row>
    <row r="398" spans="1:8" x14ac:dyDescent="0.3">
      <c r="A398" t="s">
        <v>820</v>
      </c>
      <c r="B398" t="s">
        <v>821</v>
      </c>
      <c r="C398" t="s">
        <v>10</v>
      </c>
      <c r="D398" t="s">
        <v>40</v>
      </c>
      <c r="E398" s="1">
        <v>45768</v>
      </c>
      <c r="F398" s="1">
        <v>45778</v>
      </c>
      <c r="G398" t="s">
        <v>31</v>
      </c>
      <c r="H398">
        <v>0</v>
      </c>
    </row>
    <row r="399" spans="1:8" x14ac:dyDescent="0.3">
      <c r="A399" t="s">
        <v>822</v>
      </c>
      <c r="B399" t="s">
        <v>823</v>
      </c>
      <c r="C399" t="s">
        <v>113</v>
      </c>
      <c r="D399" t="s">
        <v>40</v>
      </c>
      <c r="E399" s="1">
        <v>45747</v>
      </c>
      <c r="F399" s="1">
        <v>45756</v>
      </c>
      <c r="G399" t="s">
        <v>110</v>
      </c>
      <c r="H399">
        <v>0</v>
      </c>
    </row>
    <row r="400" spans="1:8" x14ac:dyDescent="0.3">
      <c r="A400" t="s">
        <v>824</v>
      </c>
      <c r="B400" t="s">
        <v>825</v>
      </c>
      <c r="C400" t="s">
        <v>19</v>
      </c>
      <c r="D400" t="s">
        <v>11</v>
      </c>
      <c r="E400" s="1">
        <v>45839</v>
      </c>
      <c r="F400" s="1">
        <v>45843</v>
      </c>
      <c r="G400" t="s">
        <v>16</v>
      </c>
      <c r="H400">
        <v>0</v>
      </c>
    </row>
    <row r="401" spans="1:8" x14ac:dyDescent="0.3">
      <c r="A401" t="s">
        <v>826</v>
      </c>
      <c r="B401" t="s">
        <v>827</v>
      </c>
      <c r="C401" t="s">
        <v>28</v>
      </c>
      <c r="D401" t="s">
        <v>65</v>
      </c>
      <c r="E401" s="1">
        <v>45708</v>
      </c>
      <c r="F401" s="1">
        <v>45711</v>
      </c>
      <c r="G401" t="s">
        <v>16</v>
      </c>
      <c r="H401">
        <v>0</v>
      </c>
    </row>
    <row r="402" spans="1:8" x14ac:dyDescent="0.3">
      <c r="A402" t="s">
        <v>828</v>
      </c>
      <c r="B402" t="s">
        <v>829</v>
      </c>
      <c r="C402" t="s">
        <v>113</v>
      </c>
      <c r="D402" t="s">
        <v>11</v>
      </c>
      <c r="E402" s="1">
        <v>45953</v>
      </c>
      <c r="F402" s="1">
        <v>45959</v>
      </c>
      <c r="G402" t="s">
        <v>107</v>
      </c>
      <c r="H402">
        <v>0</v>
      </c>
    </row>
    <row r="403" spans="1:8" x14ac:dyDescent="0.3">
      <c r="A403" t="s">
        <v>830</v>
      </c>
      <c r="B403" t="s">
        <v>831</v>
      </c>
      <c r="C403" t="s">
        <v>113</v>
      </c>
      <c r="D403" t="s">
        <v>65</v>
      </c>
      <c r="E403" s="1">
        <v>45664</v>
      </c>
      <c r="F403" s="1">
        <v>45672</v>
      </c>
      <c r="G403" t="s">
        <v>31</v>
      </c>
      <c r="H403">
        <v>0</v>
      </c>
    </row>
    <row r="404" spans="1:8" x14ac:dyDescent="0.3">
      <c r="A404" t="s">
        <v>832</v>
      </c>
      <c r="B404" t="s">
        <v>833</v>
      </c>
      <c r="C404" t="s">
        <v>113</v>
      </c>
      <c r="D404" t="s">
        <v>65</v>
      </c>
      <c r="E404" s="1">
        <v>45860</v>
      </c>
      <c r="F404" s="1">
        <v>45861</v>
      </c>
      <c r="G404" t="s">
        <v>31</v>
      </c>
      <c r="H404">
        <v>0</v>
      </c>
    </row>
    <row r="405" spans="1:8" x14ac:dyDescent="0.3">
      <c r="A405" t="s">
        <v>834</v>
      </c>
      <c r="B405" t="s">
        <v>835</v>
      </c>
      <c r="C405" t="s">
        <v>22</v>
      </c>
      <c r="D405" t="s">
        <v>65</v>
      </c>
      <c r="E405" s="1">
        <v>45935</v>
      </c>
      <c r="F405" s="1">
        <v>45944</v>
      </c>
      <c r="G405" t="s">
        <v>107</v>
      </c>
      <c r="H405">
        <v>0</v>
      </c>
    </row>
    <row r="406" spans="1:8" x14ac:dyDescent="0.3">
      <c r="A406" t="s">
        <v>836</v>
      </c>
      <c r="B406" t="s">
        <v>837</v>
      </c>
      <c r="C406" t="s">
        <v>10</v>
      </c>
      <c r="D406" t="s">
        <v>15</v>
      </c>
      <c r="E406" s="1">
        <v>45924</v>
      </c>
      <c r="F406" s="1">
        <v>45937</v>
      </c>
      <c r="G406" t="s">
        <v>16</v>
      </c>
      <c r="H406">
        <v>0</v>
      </c>
    </row>
    <row r="407" spans="1:8" x14ac:dyDescent="0.3">
      <c r="A407" t="s">
        <v>838</v>
      </c>
      <c r="B407" t="s">
        <v>839</v>
      </c>
      <c r="C407" t="s">
        <v>113</v>
      </c>
      <c r="D407" t="s">
        <v>11</v>
      </c>
      <c r="E407" s="1">
        <v>45946</v>
      </c>
      <c r="F407" s="1">
        <v>45957</v>
      </c>
      <c r="G407" t="s">
        <v>107</v>
      </c>
      <c r="H407">
        <v>0</v>
      </c>
    </row>
    <row r="408" spans="1:8" x14ac:dyDescent="0.3">
      <c r="A408" t="s">
        <v>840</v>
      </c>
      <c r="B408" t="s">
        <v>841</v>
      </c>
      <c r="C408" t="s">
        <v>10</v>
      </c>
      <c r="D408" t="s">
        <v>65</v>
      </c>
      <c r="E408" s="1">
        <v>45939</v>
      </c>
      <c r="F408" s="1">
        <v>45948</v>
      </c>
      <c r="G408" t="s">
        <v>110</v>
      </c>
      <c r="H408">
        <v>0</v>
      </c>
    </row>
    <row r="409" spans="1:8" x14ac:dyDescent="0.3">
      <c r="A409" t="s">
        <v>842</v>
      </c>
      <c r="B409" t="s">
        <v>843</v>
      </c>
      <c r="C409" t="s">
        <v>22</v>
      </c>
      <c r="D409" t="s">
        <v>40</v>
      </c>
      <c r="E409" s="1">
        <v>45812</v>
      </c>
      <c r="F409" s="1">
        <v>45813</v>
      </c>
      <c r="G409" t="s">
        <v>110</v>
      </c>
      <c r="H409">
        <v>0</v>
      </c>
    </row>
    <row r="410" spans="1:8" x14ac:dyDescent="0.3">
      <c r="A410" t="s">
        <v>844</v>
      </c>
      <c r="B410" t="s">
        <v>845</v>
      </c>
      <c r="C410" t="s">
        <v>113</v>
      </c>
      <c r="D410" t="s">
        <v>40</v>
      </c>
      <c r="E410" s="1">
        <v>45666</v>
      </c>
      <c r="F410" s="1">
        <v>45672</v>
      </c>
      <c r="G410" t="s">
        <v>12</v>
      </c>
      <c r="H410">
        <v>130</v>
      </c>
    </row>
    <row r="411" spans="1:8" x14ac:dyDescent="0.3">
      <c r="A411" t="s">
        <v>846</v>
      </c>
      <c r="B411" t="s">
        <v>847</v>
      </c>
      <c r="C411" t="s">
        <v>28</v>
      </c>
      <c r="D411" t="s">
        <v>65</v>
      </c>
      <c r="E411" s="1">
        <v>45854</v>
      </c>
      <c r="F411" s="1">
        <v>45863</v>
      </c>
      <c r="G411" t="s">
        <v>107</v>
      </c>
      <c r="H411">
        <v>0</v>
      </c>
    </row>
    <row r="412" spans="1:8" x14ac:dyDescent="0.3">
      <c r="A412" t="s">
        <v>848</v>
      </c>
      <c r="B412" t="s">
        <v>849</v>
      </c>
      <c r="C412" t="s">
        <v>19</v>
      </c>
      <c r="D412" t="s">
        <v>15</v>
      </c>
      <c r="E412" s="1">
        <v>45738</v>
      </c>
      <c r="F412" s="1">
        <v>45744</v>
      </c>
      <c r="G412" t="s">
        <v>31</v>
      </c>
      <c r="H412">
        <v>0</v>
      </c>
    </row>
    <row r="413" spans="1:8" x14ac:dyDescent="0.3">
      <c r="A413" t="s">
        <v>850</v>
      </c>
      <c r="B413" t="s">
        <v>851</v>
      </c>
      <c r="C413" t="s">
        <v>22</v>
      </c>
      <c r="D413" t="s">
        <v>40</v>
      </c>
      <c r="E413" s="1">
        <v>45669</v>
      </c>
      <c r="F413" s="1">
        <v>45682</v>
      </c>
      <c r="G413" t="s">
        <v>16</v>
      </c>
      <c r="H413">
        <v>0</v>
      </c>
    </row>
    <row r="414" spans="1:8" x14ac:dyDescent="0.3">
      <c r="A414" t="s">
        <v>852</v>
      </c>
      <c r="B414" t="s">
        <v>853</v>
      </c>
      <c r="C414" t="s">
        <v>113</v>
      </c>
      <c r="D414" t="s">
        <v>15</v>
      </c>
      <c r="E414" s="1">
        <v>45853</v>
      </c>
      <c r="F414" s="1">
        <v>45857</v>
      </c>
      <c r="G414" t="s">
        <v>12</v>
      </c>
      <c r="H414">
        <v>0</v>
      </c>
    </row>
    <row r="415" spans="1:8" x14ac:dyDescent="0.3">
      <c r="A415" t="s">
        <v>854</v>
      </c>
      <c r="B415" t="s">
        <v>855</v>
      </c>
      <c r="C415" t="s">
        <v>10</v>
      </c>
      <c r="D415" t="s">
        <v>65</v>
      </c>
      <c r="E415" s="1">
        <v>45922</v>
      </c>
      <c r="F415" s="1">
        <v>45929</v>
      </c>
      <c r="G415" t="s">
        <v>31</v>
      </c>
      <c r="H415">
        <v>0</v>
      </c>
    </row>
    <row r="416" spans="1:8" x14ac:dyDescent="0.3">
      <c r="A416" t="s">
        <v>856</v>
      </c>
      <c r="B416" t="s">
        <v>857</v>
      </c>
      <c r="C416" t="s">
        <v>113</v>
      </c>
      <c r="D416" t="s">
        <v>15</v>
      </c>
      <c r="E416" s="1">
        <v>45799</v>
      </c>
      <c r="G416" t="s">
        <v>12</v>
      </c>
      <c r="H416">
        <v>67</v>
      </c>
    </row>
    <row r="417" spans="1:8" x14ac:dyDescent="0.3">
      <c r="A417" t="s">
        <v>858</v>
      </c>
      <c r="B417" t="s">
        <v>859</v>
      </c>
      <c r="C417" t="s">
        <v>10</v>
      </c>
      <c r="D417" t="s">
        <v>15</v>
      </c>
      <c r="E417" s="1">
        <v>45761</v>
      </c>
      <c r="F417" s="1">
        <v>45766</v>
      </c>
      <c r="G417" t="s">
        <v>12</v>
      </c>
      <c r="H417">
        <v>275</v>
      </c>
    </row>
    <row r="418" spans="1:8" x14ac:dyDescent="0.3">
      <c r="A418" t="s">
        <v>860</v>
      </c>
      <c r="B418" t="s">
        <v>861</v>
      </c>
      <c r="C418" t="s">
        <v>19</v>
      </c>
      <c r="D418" t="s">
        <v>15</v>
      </c>
      <c r="E418" s="1">
        <v>45809</v>
      </c>
      <c r="G418" t="s">
        <v>110</v>
      </c>
      <c r="H418">
        <v>0</v>
      </c>
    </row>
    <row r="419" spans="1:8" x14ac:dyDescent="0.3">
      <c r="A419" t="s">
        <v>862</v>
      </c>
      <c r="B419" t="s">
        <v>863</v>
      </c>
      <c r="C419" t="s">
        <v>22</v>
      </c>
      <c r="D419" t="s">
        <v>15</v>
      </c>
      <c r="E419" s="1">
        <v>45873</v>
      </c>
      <c r="F419" s="1">
        <v>45874</v>
      </c>
      <c r="G419" t="s">
        <v>12</v>
      </c>
      <c r="H419">
        <v>208</v>
      </c>
    </row>
    <row r="420" spans="1:8" x14ac:dyDescent="0.3">
      <c r="A420" t="s">
        <v>864</v>
      </c>
      <c r="B420" t="s">
        <v>865</v>
      </c>
      <c r="C420" t="s">
        <v>22</v>
      </c>
      <c r="D420" t="s">
        <v>15</v>
      </c>
      <c r="E420" s="1">
        <v>45809</v>
      </c>
      <c r="F420" s="1">
        <v>45820</v>
      </c>
      <c r="G420" t="s">
        <v>12</v>
      </c>
      <c r="H420">
        <v>270</v>
      </c>
    </row>
    <row r="421" spans="1:8" x14ac:dyDescent="0.3">
      <c r="A421" t="s">
        <v>866</v>
      </c>
      <c r="B421" t="s">
        <v>867</v>
      </c>
      <c r="C421" t="s">
        <v>113</v>
      </c>
      <c r="D421" t="s">
        <v>65</v>
      </c>
      <c r="E421" s="1">
        <v>45836</v>
      </c>
      <c r="G421" t="s">
        <v>31</v>
      </c>
      <c r="H421">
        <v>0</v>
      </c>
    </row>
    <row r="422" spans="1:8" x14ac:dyDescent="0.3">
      <c r="A422" t="s">
        <v>868</v>
      </c>
      <c r="B422" t="s">
        <v>869</v>
      </c>
      <c r="C422" t="s">
        <v>28</v>
      </c>
      <c r="D422" t="s">
        <v>15</v>
      </c>
      <c r="E422" s="1">
        <v>45929</v>
      </c>
      <c r="F422" s="1">
        <v>45942</v>
      </c>
      <c r="G422" t="s">
        <v>31</v>
      </c>
      <c r="H422">
        <v>0</v>
      </c>
    </row>
    <row r="423" spans="1:8" x14ac:dyDescent="0.3">
      <c r="A423" t="s">
        <v>870</v>
      </c>
      <c r="B423" t="s">
        <v>871</v>
      </c>
      <c r="C423" t="s">
        <v>113</v>
      </c>
      <c r="D423" t="s">
        <v>11</v>
      </c>
      <c r="E423" s="1">
        <v>45906</v>
      </c>
      <c r="F423" s="1">
        <v>45912</v>
      </c>
      <c r="G423" t="s">
        <v>12</v>
      </c>
      <c r="H423">
        <v>0</v>
      </c>
    </row>
    <row r="424" spans="1:8" x14ac:dyDescent="0.3">
      <c r="A424" t="s">
        <v>872</v>
      </c>
      <c r="B424" t="s">
        <v>873</v>
      </c>
      <c r="C424" t="s">
        <v>28</v>
      </c>
      <c r="D424" t="s">
        <v>15</v>
      </c>
      <c r="E424" s="1">
        <v>45916</v>
      </c>
      <c r="F424" s="1">
        <v>45925</v>
      </c>
      <c r="G424" t="s">
        <v>31</v>
      </c>
      <c r="H424">
        <v>0</v>
      </c>
    </row>
    <row r="425" spans="1:8" x14ac:dyDescent="0.3">
      <c r="A425" t="s">
        <v>874</v>
      </c>
      <c r="B425" t="s">
        <v>875</v>
      </c>
      <c r="C425" t="s">
        <v>22</v>
      </c>
      <c r="D425" t="s">
        <v>15</v>
      </c>
      <c r="E425" s="1">
        <v>45768</v>
      </c>
      <c r="F425" s="1">
        <v>45771</v>
      </c>
      <c r="G425" t="s">
        <v>110</v>
      </c>
      <c r="H425">
        <v>0</v>
      </c>
    </row>
    <row r="426" spans="1:8" x14ac:dyDescent="0.3">
      <c r="A426" t="s">
        <v>876</v>
      </c>
      <c r="B426" t="s">
        <v>877</v>
      </c>
      <c r="C426" t="s">
        <v>113</v>
      </c>
      <c r="D426" t="s">
        <v>11</v>
      </c>
      <c r="E426" s="1">
        <v>45900</v>
      </c>
      <c r="F426" s="1">
        <v>45912</v>
      </c>
      <c r="G426" t="s">
        <v>16</v>
      </c>
      <c r="H426">
        <v>0</v>
      </c>
    </row>
    <row r="427" spans="1:8" x14ac:dyDescent="0.3">
      <c r="A427" t="s">
        <v>878</v>
      </c>
      <c r="B427" t="s">
        <v>879</v>
      </c>
      <c r="C427" t="s">
        <v>22</v>
      </c>
      <c r="D427" t="s">
        <v>40</v>
      </c>
      <c r="E427" s="1">
        <v>45793</v>
      </c>
      <c r="F427" s="1">
        <v>45800</v>
      </c>
      <c r="G427" t="s">
        <v>12</v>
      </c>
      <c r="H427">
        <v>239</v>
      </c>
    </row>
    <row r="428" spans="1:8" x14ac:dyDescent="0.3">
      <c r="A428" t="s">
        <v>880</v>
      </c>
      <c r="B428" t="s">
        <v>881</v>
      </c>
      <c r="C428" t="s">
        <v>22</v>
      </c>
      <c r="D428" t="s">
        <v>65</v>
      </c>
      <c r="E428" s="1">
        <v>45694</v>
      </c>
      <c r="F428" s="1">
        <v>45706</v>
      </c>
      <c r="G428" t="s">
        <v>110</v>
      </c>
      <c r="H428">
        <v>0</v>
      </c>
    </row>
    <row r="429" spans="1:8" x14ac:dyDescent="0.3">
      <c r="A429" t="s">
        <v>882</v>
      </c>
      <c r="B429" t="s">
        <v>883</v>
      </c>
      <c r="C429" t="s">
        <v>19</v>
      </c>
      <c r="D429" t="s">
        <v>11</v>
      </c>
      <c r="E429" s="1">
        <v>45803</v>
      </c>
      <c r="F429" s="1">
        <v>45810</v>
      </c>
      <c r="G429" t="s">
        <v>110</v>
      </c>
      <c r="H429">
        <v>0</v>
      </c>
    </row>
    <row r="430" spans="1:8" x14ac:dyDescent="0.3">
      <c r="A430" t="s">
        <v>884</v>
      </c>
      <c r="B430" t="s">
        <v>885</v>
      </c>
      <c r="C430" t="s">
        <v>28</v>
      </c>
      <c r="D430" t="s">
        <v>40</v>
      </c>
      <c r="E430" s="1">
        <v>45701</v>
      </c>
      <c r="F430" s="1">
        <v>45715</v>
      </c>
      <c r="G430" t="s">
        <v>107</v>
      </c>
      <c r="H430">
        <v>0</v>
      </c>
    </row>
    <row r="431" spans="1:8" x14ac:dyDescent="0.3">
      <c r="A431" t="s">
        <v>886</v>
      </c>
      <c r="B431" t="s">
        <v>887</v>
      </c>
      <c r="C431" t="s">
        <v>28</v>
      </c>
      <c r="D431" t="s">
        <v>11</v>
      </c>
      <c r="E431" s="1">
        <v>45826</v>
      </c>
      <c r="F431" s="1">
        <v>45827</v>
      </c>
      <c r="G431" t="s">
        <v>110</v>
      </c>
      <c r="H431">
        <v>0</v>
      </c>
    </row>
    <row r="432" spans="1:8" x14ac:dyDescent="0.3">
      <c r="A432" t="s">
        <v>888</v>
      </c>
      <c r="B432" t="s">
        <v>889</v>
      </c>
      <c r="C432" t="s">
        <v>22</v>
      </c>
      <c r="D432" t="s">
        <v>11</v>
      </c>
      <c r="E432" s="1">
        <v>45908</v>
      </c>
      <c r="F432" s="1">
        <v>45918</v>
      </c>
      <c r="G432" t="s">
        <v>16</v>
      </c>
      <c r="H432">
        <v>0</v>
      </c>
    </row>
    <row r="433" spans="1:8" x14ac:dyDescent="0.3">
      <c r="A433" t="s">
        <v>890</v>
      </c>
      <c r="B433" t="s">
        <v>891</v>
      </c>
      <c r="C433" t="s">
        <v>28</v>
      </c>
      <c r="D433" t="s">
        <v>11</v>
      </c>
      <c r="E433" s="1">
        <v>45794</v>
      </c>
      <c r="G433" t="s">
        <v>107</v>
      </c>
      <c r="H433">
        <v>0</v>
      </c>
    </row>
    <row r="434" spans="1:8" x14ac:dyDescent="0.3">
      <c r="A434" t="s">
        <v>892</v>
      </c>
      <c r="B434" t="s">
        <v>893</v>
      </c>
      <c r="C434" t="s">
        <v>19</v>
      </c>
      <c r="D434" t="s">
        <v>11</v>
      </c>
      <c r="E434" s="1">
        <v>45958</v>
      </c>
      <c r="F434" s="1">
        <v>45959</v>
      </c>
      <c r="G434" t="s">
        <v>12</v>
      </c>
      <c r="H434">
        <v>281</v>
      </c>
    </row>
    <row r="435" spans="1:8" x14ac:dyDescent="0.3">
      <c r="A435" t="s">
        <v>894</v>
      </c>
      <c r="B435" t="s">
        <v>895</v>
      </c>
      <c r="C435" t="s">
        <v>22</v>
      </c>
      <c r="D435" t="s">
        <v>65</v>
      </c>
      <c r="E435" s="1">
        <v>45673</v>
      </c>
      <c r="F435" s="1">
        <v>45674</v>
      </c>
      <c r="G435" t="s">
        <v>107</v>
      </c>
      <c r="H435">
        <v>0</v>
      </c>
    </row>
    <row r="436" spans="1:8" x14ac:dyDescent="0.3">
      <c r="A436" t="s">
        <v>896</v>
      </c>
      <c r="B436" t="s">
        <v>897</v>
      </c>
      <c r="C436" t="s">
        <v>28</v>
      </c>
      <c r="D436" t="s">
        <v>15</v>
      </c>
      <c r="E436" s="1">
        <v>45690</v>
      </c>
      <c r="F436" s="1">
        <v>45701</v>
      </c>
      <c r="G436" t="s">
        <v>107</v>
      </c>
      <c r="H436">
        <v>0</v>
      </c>
    </row>
    <row r="437" spans="1:8" x14ac:dyDescent="0.3">
      <c r="A437" t="s">
        <v>898</v>
      </c>
      <c r="B437" t="s">
        <v>899</v>
      </c>
      <c r="C437" t="s">
        <v>28</v>
      </c>
      <c r="D437" t="s">
        <v>11</v>
      </c>
      <c r="E437" s="1">
        <v>45922</v>
      </c>
      <c r="F437" s="1">
        <v>45924</v>
      </c>
      <c r="G437" t="s">
        <v>31</v>
      </c>
      <c r="H437">
        <v>0</v>
      </c>
    </row>
    <row r="438" spans="1:8" x14ac:dyDescent="0.3">
      <c r="A438" t="s">
        <v>900</v>
      </c>
      <c r="B438" t="s">
        <v>901</v>
      </c>
      <c r="C438" t="s">
        <v>19</v>
      </c>
      <c r="D438" t="s">
        <v>15</v>
      </c>
      <c r="E438" s="1">
        <v>45926</v>
      </c>
      <c r="G438" t="s">
        <v>107</v>
      </c>
      <c r="H438">
        <v>0</v>
      </c>
    </row>
    <row r="439" spans="1:8" x14ac:dyDescent="0.3">
      <c r="A439" t="s">
        <v>902</v>
      </c>
      <c r="B439" t="s">
        <v>903</v>
      </c>
      <c r="C439" t="s">
        <v>113</v>
      </c>
      <c r="D439" t="s">
        <v>15</v>
      </c>
      <c r="E439" s="1">
        <v>45905</v>
      </c>
      <c r="F439" s="1">
        <v>45915</v>
      </c>
      <c r="G439" t="s">
        <v>16</v>
      </c>
      <c r="H439">
        <v>0</v>
      </c>
    </row>
    <row r="440" spans="1:8" x14ac:dyDescent="0.3">
      <c r="A440" t="s">
        <v>904</v>
      </c>
      <c r="B440" t="s">
        <v>905</v>
      </c>
      <c r="C440" t="s">
        <v>28</v>
      </c>
      <c r="D440" t="s">
        <v>15</v>
      </c>
      <c r="E440" s="1">
        <v>45890</v>
      </c>
      <c r="F440" s="1">
        <v>45892</v>
      </c>
      <c r="G440" t="s">
        <v>107</v>
      </c>
      <c r="H440">
        <v>0</v>
      </c>
    </row>
    <row r="441" spans="1:8" x14ac:dyDescent="0.3">
      <c r="A441" t="s">
        <v>906</v>
      </c>
      <c r="B441" t="s">
        <v>907</v>
      </c>
      <c r="C441" t="s">
        <v>19</v>
      </c>
      <c r="D441" t="s">
        <v>40</v>
      </c>
      <c r="E441" s="1">
        <v>45770</v>
      </c>
      <c r="F441" s="1">
        <v>45775</v>
      </c>
      <c r="G441" t="s">
        <v>16</v>
      </c>
      <c r="H441">
        <v>0</v>
      </c>
    </row>
    <row r="442" spans="1:8" x14ac:dyDescent="0.3">
      <c r="A442" t="s">
        <v>908</v>
      </c>
      <c r="B442" t="s">
        <v>909</v>
      </c>
      <c r="C442" t="s">
        <v>28</v>
      </c>
      <c r="D442" t="s">
        <v>11</v>
      </c>
      <c r="E442" s="1">
        <v>45853</v>
      </c>
      <c r="F442" s="1">
        <v>45858</v>
      </c>
      <c r="G442" t="s">
        <v>107</v>
      </c>
      <c r="H442">
        <v>0</v>
      </c>
    </row>
    <row r="443" spans="1:8" x14ac:dyDescent="0.3">
      <c r="A443" t="s">
        <v>910</v>
      </c>
      <c r="B443" t="s">
        <v>911</v>
      </c>
      <c r="C443" t="s">
        <v>28</v>
      </c>
      <c r="D443" t="s">
        <v>65</v>
      </c>
      <c r="E443" s="1">
        <v>45864</v>
      </c>
      <c r="F443" s="1">
        <v>45865</v>
      </c>
      <c r="G443" t="s">
        <v>31</v>
      </c>
      <c r="H443">
        <v>0</v>
      </c>
    </row>
    <row r="444" spans="1:8" x14ac:dyDescent="0.3">
      <c r="A444" t="s">
        <v>912</v>
      </c>
      <c r="B444" t="s">
        <v>913</v>
      </c>
      <c r="C444" t="s">
        <v>10</v>
      </c>
      <c r="D444" t="s">
        <v>11</v>
      </c>
      <c r="E444" s="1">
        <v>45839</v>
      </c>
      <c r="F444" s="1">
        <v>45853</v>
      </c>
      <c r="G444" t="s">
        <v>12</v>
      </c>
      <c r="H444">
        <v>0</v>
      </c>
    </row>
    <row r="445" spans="1:8" x14ac:dyDescent="0.3">
      <c r="A445" t="s">
        <v>914</v>
      </c>
      <c r="B445" t="s">
        <v>915</v>
      </c>
      <c r="C445" t="s">
        <v>10</v>
      </c>
      <c r="D445" t="s">
        <v>11</v>
      </c>
      <c r="E445" s="1">
        <v>45682</v>
      </c>
      <c r="F445" s="1">
        <v>45692</v>
      </c>
      <c r="G445" t="s">
        <v>12</v>
      </c>
      <c r="H445">
        <v>229</v>
      </c>
    </row>
    <row r="446" spans="1:8" x14ac:dyDescent="0.3">
      <c r="A446" t="s">
        <v>916</v>
      </c>
      <c r="B446" t="s">
        <v>917</v>
      </c>
      <c r="C446" t="s">
        <v>28</v>
      </c>
      <c r="D446" t="s">
        <v>15</v>
      </c>
      <c r="E446" s="1">
        <v>45871</v>
      </c>
      <c r="G446" t="s">
        <v>31</v>
      </c>
      <c r="H446">
        <v>0</v>
      </c>
    </row>
    <row r="447" spans="1:8" x14ac:dyDescent="0.3">
      <c r="A447" t="s">
        <v>918</v>
      </c>
      <c r="B447" t="s">
        <v>919</v>
      </c>
      <c r="C447" t="s">
        <v>19</v>
      </c>
      <c r="D447" t="s">
        <v>40</v>
      </c>
      <c r="E447" s="1">
        <v>45872</v>
      </c>
      <c r="F447" s="1">
        <v>45881</v>
      </c>
      <c r="G447" t="s">
        <v>107</v>
      </c>
      <c r="H447">
        <v>0</v>
      </c>
    </row>
    <row r="448" spans="1:8" x14ac:dyDescent="0.3">
      <c r="A448" t="s">
        <v>920</v>
      </c>
      <c r="B448" t="s">
        <v>921</v>
      </c>
      <c r="C448" t="s">
        <v>10</v>
      </c>
      <c r="D448" t="s">
        <v>15</v>
      </c>
      <c r="E448" s="1">
        <v>45666</v>
      </c>
      <c r="F448" s="1">
        <v>45675</v>
      </c>
      <c r="G448" t="s">
        <v>31</v>
      </c>
      <c r="H448">
        <v>0</v>
      </c>
    </row>
    <row r="449" spans="1:8" x14ac:dyDescent="0.3">
      <c r="A449" t="s">
        <v>922</v>
      </c>
      <c r="B449" t="s">
        <v>923</v>
      </c>
      <c r="C449" t="s">
        <v>28</v>
      </c>
      <c r="D449" t="s">
        <v>15</v>
      </c>
      <c r="E449" s="1">
        <v>45827</v>
      </c>
      <c r="F449" s="1">
        <v>45829</v>
      </c>
      <c r="G449" t="s">
        <v>107</v>
      </c>
      <c r="H449">
        <v>0</v>
      </c>
    </row>
    <row r="450" spans="1:8" x14ac:dyDescent="0.3">
      <c r="A450" t="s">
        <v>924</v>
      </c>
      <c r="B450" t="s">
        <v>925</v>
      </c>
      <c r="C450" t="s">
        <v>28</v>
      </c>
      <c r="D450" t="s">
        <v>15</v>
      </c>
      <c r="E450" s="1">
        <v>45931</v>
      </c>
      <c r="G450" t="s">
        <v>31</v>
      </c>
      <c r="H450">
        <v>0</v>
      </c>
    </row>
    <row r="451" spans="1:8" x14ac:dyDescent="0.3">
      <c r="A451" t="s">
        <v>926</v>
      </c>
      <c r="B451" t="s">
        <v>927</v>
      </c>
      <c r="C451" t="s">
        <v>113</v>
      </c>
      <c r="D451" t="s">
        <v>11</v>
      </c>
      <c r="E451" s="1">
        <v>45817</v>
      </c>
      <c r="F451" s="1">
        <v>45831</v>
      </c>
      <c r="G451" t="s">
        <v>110</v>
      </c>
      <c r="H451">
        <v>0</v>
      </c>
    </row>
    <row r="452" spans="1:8" x14ac:dyDescent="0.3">
      <c r="A452" t="s">
        <v>928</v>
      </c>
      <c r="B452" t="s">
        <v>929</v>
      </c>
      <c r="C452" t="s">
        <v>28</v>
      </c>
      <c r="D452" t="s">
        <v>15</v>
      </c>
      <c r="E452" s="1">
        <v>45666</v>
      </c>
      <c r="F452" s="1">
        <v>45674</v>
      </c>
      <c r="G452" t="s">
        <v>107</v>
      </c>
      <c r="H452">
        <v>0</v>
      </c>
    </row>
    <row r="453" spans="1:8" x14ac:dyDescent="0.3">
      <c r="A453" t="s">
        <v>930</v>
      </c>
      <c r="B453" t="s">
        <v>931</v>
      </c>
      <c r="C453" t="s">
        <v>28</v>
      </c>
      <c r="D453" t="s">
        <v>15</v>
      </c>
      <c r="E453" s="1">
        <v>45824</v>
      </c>
      <c r="F453" s="1">
        <v>45836</v>
      </c>
      <c r="G453" t="s">
        <v>16</v>
      </c>
      <c r="H453">
        <v>0</v>
      </c>
    </row>
    <row r="454" spans="1:8" x14ac:dyDescent="0.3">
      <c r="A454" t="s">
        <v>932</v>
      </c>
      <c r="B454" t="s">
        <v>933</v>
      </c>
      <c r="C454" t="s">
        <v>28</v>
      </c>
      <c r="D454" t="s">
        <v>40</v>
      </c>
      <c r="E454" s="1">
        <v>45794</v>
      </c>
      <c r="F454" s="1">
        <v>45805</v>
      </c>
      <c r="G454" t="s">
        <v>31</v>
      </c>
      <c r="H454">
        <v>0</v>
      </c>
    </row>
    <row r="455" spans="1:8" x14ac:dyDescent="0.3">
      <c r="A455" t="s">
        <v>934</v>
      </c>
      <c r="B455" t="s">
        <v>935</v>
      </c>
      <c r="C455" t="s">
        <v>28</v>
      </c>
      <c r="D455" t="s">
        <v>40</v>
      </c>
      <c r="E455" s="1">
        <v>45933</v>
      </c>
      <c r="G455" t="s">
        <v>110</v>
      </c>
      <c r="H455">
        <v>0</v>
      </c>
    </row>
    <row r="456" spans="1:8" x14ac:dyDescent="0.3">
      <c r="A456" t="s">
        <v>936</v>
      </c>
      <c r="B456" t="s">
        <v>937</v>
      </c>
      <c r="C456" t="s">
        <v>10</v>
      </c>
      <c r="D456" t="s">
        <v>65</v>
      </c>
      <c r="E456" s="1">
        <v>45949</v>
      </c>
      <c r="F456" s="1">
        <v>45950</v>
      </c>
      <c r="G456" t="s">
        <v>16</v>
      </c>
      <c r="H456">
        <v>0</v>
      </c>
    </row>
    <row r="457" spans="1:8" x14ac:dyDescent="0.3">
      <c r="A457" t="s">
        <v>938</v>
      </c>
      <c r="B457" t="s">
        <v>939</v>
      </c>
      <c r="C457" t="s">
        <v>10</v>
      </c>
      <c r="D457" t="s">
        <v>15</v>
      </c>
      <c r="E457" s="1">
        <v>45920</v>
      </c>
      <c r="F457" s="1">
        <v>45920</v>
      </c>
      <c r="G457" t="s">
        <v>110</v>
      </c>
      <c r="H457">
        <v>0</v>
      </c>
    </row>
    <row r="458" spans="1:8" x14ac:dyDescent="0.3">
      <c r="A458" t="s">
        <v>940</v>
      </c>
      <c r="B458" t="s">
        <v>941</v>
      </c>
      <c r="C458" t="s">
        <v>28</v>
      </c>
      <c r="D458" t="s">
        <v>11</v>
      </c>
      <c r="E458" s="1">
        <v>45864</v>
      </c>
      <c r="F458" s="1">
        <v>45872</v>
      </c>
      <c r="G458" t="s">
        <v>12</v>
      </c>
      <c r="H458">
        <v>93</v>
      </c>
    </row>
    <row r="459" spans="1:8" x14ac:dyDescent="0.3">
      <c r="A459" t="s">
        <v>942</v>
      </c>
      <c r="B459" t="s">
        <v>943</v>
      </c>
      <c r="C459" t="s">
        <v>22</v>
      </c>
      <c r="D459" t="s">
        <v>11</v>
      </c>
      <c r="E459" s="1">
        <v>45949</v>
      </c>
      <c r="F459" s="1">
        <v>45956</v>
      </c>
      <c r="G459" t="s">
        <v>12</v>
      </c>
      <c r="H459">
        <v>0</v>
      </c>
    </row>
    <row r="460" spans="1:8" x14ac:dyDescent="0.3">
      <c r="A460" t="s">
        <v>944</v>
      </c>
      <c r="B460" t="s">
        <v>945</v>
      </c>
      <c r="C460" t="s">
        <v>113</v>
      </c>
      <c r="D460" t="s">
        <v>65</v>
      </c>
      <c r="E460" s="1">
        <v>45672</v>
      </c>
      <c r="F460" s="1">
        <v>45679</v>
      </c>
      <c r="G460" t="s">
        <v>12</v>
      </c>
      <c r="H460">
        <v>132</v>
      </c>
    </row>
    <row r="461" spans="1:8" x14ac:dyDescent="0.3">
      <c r="A461" t="s">
        <v>946</v>
      </c>
      <c r="B461" t="s">
        <v>947</v>
      </c>
      <c r="C461" t="s">
        <v>10</v>
      </c>
      <c r="D461" t="s">
        <v>40</v>
      </c>
      <c r="E461" s="1">
        <v>45943</v>
      </c>
      <c r="F461" s="1">
        <v>45947</v>
      </c>
      <c r="G461" t="s">
        <v>31</v>
      </c>
      <c r="H461">
        <v>0</v>
      </c>
    </row>
    <row r="462" spans="1:8" x14ac:dyDescent="0.3">
      <c r="A462" t="s">
        <v>948</v>
      </c>
      <c r="B462" t="s">
        <v>949</v>
      </c>
      <c r="C462" t="s">
        <v>10</v>
      </c>
      <c r="D462" t="s">
        <v>40</v>
      </c>
      <c r="E462" s="1">
        <v>45749</v>
      </c>
      <c r="F462" s="1">
        <v>45757</v>
      </c>
      <c r="G462" t="s">
        <v>107</v>
      </c>
      <c r="H462">
        <v>0</v>
      </c>
    </row>
    <row r="463" spans="1:8" x14ac:dyDescent="0.3">
      <c r="A463" t="s">
        <v>950</v>
      </c>
      <c r="B463" t="s">
        <v>951</v>
      </c>
      <c r="C463" t="s">
        <v>10</v>
      </c>
      <c r="D463" t="s">
        <v>15</v>
      </c>
      <c r="E463" s="1">
        <v>45829</v>
      </c>
      <c r="G463" t="s">
        <v>12</v>
      </c>
      <c r="H463">
        <v>0</v>
      </c>
    </row>
    <row r="464" spans="1:8" x14ac:dyDescent="0.3">
      <c r="A464" t="s">
        <v>952</v>
      </c>
      <c r="B464" t="s">
        <v>953</v>
      </c>
      <c r="C464" t="s">
        <v>113</v>
      </c>
      <c r="D464" t="s">
        <v>40</v>
      </c>
      <c r="E464" s="1">
        <v>45899</v>
      </c>
      <c r="F464" s="1">
        <v>45899</v>
      </c>
      <c r="G464" t="s">
        <v>16</v>
      </c>
      <c r="H464">
        <v>0</v>
      </c>
    </row>
    <row r="465" spans="1:8" x14ac:dyDescent="0.3">
      <c r="A465" t="s">
        <v>954</v>
      </c>
      <c r="B465" t="s">
        <v>955</v>
      </c>
      <c r="C465" t="s">
        <v>113</v>
      </c>
      <c r="D465" t="s">
        <v>15</v>
      </c>
      <c r="E465" s="1">
        <v>45786</v>
      </c>
      <c r="F465" s="1">
        <v>45790</v>
      </c>
      <c r="G465" t="s">
        <v>107</v>
      </c>
      <c r="H465">
        <v>0</v>
      </c>
    </row>
    <row r="466" spans="1:8" x14ac:dyDescent="0.3">
      <c r="A466" t="s">
        <v>956</v>
      </c>
      <c r="B466" t="s">
        <v>957</v>
      </c>
      <c r="C466" t="s">
        <v>113</v>
      </c>
      <c r="D466" t="s">
        <v>65</v>
      </c>
      <c r="E466" s="1">
        <v>45821</v>
      </c>
      <c r="F466" s="1">
        <v>45822</v>
      </c>
      <c r="G466" t="s">
        <v>16</v>
      </c>
      <c r="H466">
        <v>0</v>
      </c>
    </row>
    <row r="467" spans="1:8" x14ac:dyDescent="0.3">
      <c r="A467" t="s">
        <v>958</v>
      </c>
      <c r="B467" t="s">
        <v>959</v>
      </c>
      <c r="C467" t="s">
        <v>10</v>
      </c>
      <c r="D467" t="s">
        <v>65</v>
      </c>
      <c r="E467" s="1">
        <v>45953</v>
      </c>
      <c r="F467" s="1">
        <v>45963</v>
      </c>
      <c r="G467" t="s">
        <v>110</v>
      </c>
      <c r="H467">
        <v>0</v>
      </c>
    </row>
    <row r="468" spans="1:8" x14ac:dyDescent="0.3">
      <c r="A468" t="s">
        <v>960</v>
      </c>
      <c r="B468" t="s">
        <v>961</v>
      </c>
      <c r="C468" t="s">
        <v>22</v>
      </c>
      <c r="D468" t="s">
        <v>65</v>
      </c>
      <c r="E468" s="1">
        <v>45866</v>
      </c>
      <c r="G468" t="s">
        <v>12</v>
      </c>
      <c r="H468">
        <v>60</v>
      </c>
    </row>
    <row r="469" spans="1:8" x14ac:dyDescent="0.3">
      <c r="A469" t="s">
        <v>962</v>
      </c>
      <c r="B469" t="s">
        <v>963</v>
      </c>
      <c r="C469" t="s">
        <v>22</v>
      </c>
      <c r="D469" t="s">
        <v>40</v>
      </c>
      <c r="E469" s="1">
        <v>45695</v>
      </c>
      <c r="F469" s="1">
        <v>45705</v>
      </c>
      <c r="G469" t="s">
        <v>16</v>
      </c>
      <c r="H469">
        <v>0</v>
      </c>
    </row>
    <row r="470" spans="1:8" x14ac:dyDescent="0.3">
      <c r="A470" t="s">
        <v>964</v>
      </c>
      <c r="B470" t="s">
        <v>965</v>
      </c>
      <c r="C470" t="s">
        <v>19</v>
      </c>
      <c r="D470" t="s">
        <v>40</v>
      </c>
      <c r="E470" s="1">
        <v>45790</v>
      </c>
      <c r="F470" s="1">
        <v>45793</v>
      </c>
      <c r="G470" t="s">
        <v>16</v>
      </c>
      <c r="H470">
        <v>0</v>
      </c>
    </row>
    <row r="471" spans="1:8" x14ac:dyDescent="0.3">
      <c r="A471" t="s">
        <v>966</v>
      </c>
      <c r="B471" t="s">
        <v>967</v>
      </c>
      <c r="C471" t="s">
        <v>19</v>
      </c>
      <c r="D471" t="s">
        <v>15</v>
      </c>
      <c r="E471" s="1">
        <v>45728</v>
      </c>
      <c r="F471" s="1">
        <v>45731</v>
      </c>
      <c r="G471" t="s">
        <v>107</v>
      </c>
      <c r="H471">
        <v>0</v>
      </c>
    </row>
    <row r="472" spans="1:8" x14ac:dyDescent="0.3">
      <c r="A472" t="s">
        <v>968</v>
      </c>
      <c r="B472" t="s">
        <v>969</v>
      </c>
      <c r="C472" t="s">
        <v>28</v>
      </c>
      <c r="D472" t="s">
        <v>11</v>
      </c>
      <c r="E472" s="1">
        <v>45757</v>
      </c>
      <c r="F472" s="1">
        <v>45757</v>
      </c>
      <c r="G472" t="s">
        <v>12</v>
      </c>
      <c r="H472">
        <v>0</v>
      </c>
    </row>
    <row r="473" spans="1:8" x14ac:dyDescent="0.3">
      <c r="A473" t="s">
        <v>970</v>
      </c>
      <c r="B473" t="s">
        <v>971</v>
      </c>
      <c r="C473" t="s">
        <v>28</v>
      </c>
      <c r="D473" t="s">
        <v>15</v>
      </c>
      <c r="E473" s="1">
        <v>45929</v>
      </c>
      <c r="F473" s="1">
        <v>45936</v>
      </c>
      <c r="G473" t="s">
        <v>16</v>
      </c>
      <c r="H473">
        <v>0</v>
      </c>
    </row>
    <row r="474" spans="1:8" x14ac:dyDescent="0.3">
      <c r="A474" t="s">
        <v>972</v>
      </c>
      <c r="B474" t="s">
        <v>973</v>
      </c>
      <c r="C474" t="s">
        <v>28</v>
      </c>
      <c r="D474" t="s">
        <v>15</v>
      </c>
      <c r="E474" s="1">
        <v>45695</v>
      </c>
      <c r="F474" s="1">
        <v>45708</v>
      </c>
      <c r="G474" t="s">
        <v>31</v>
      </c>
      <c r="H474">
        <v>0</v>
      </c>
    </row>
    <row r="475" spans="1:8" x14ac:dyDescent="0.3">
      <c r="A475" t="s">
        <v>974</v>
      </c>
      <c r="B475" t="s">
        <v>975</v>
      </c>
      <c r="C475" t="s">
        <v>28</v>
      </c>
      <c r="D475" t="s">
        <v>15</v>
      </c>
      <c r="E475" s="1">
        <v>45791</v>
      </c>
      <c r="F475" s="1">
        <v>45793</v>
      </c>
      <c r="G475" t="s">
        <v>31</v>
      </c>
      <c r="H475">
        <v>0</v>
      </c>
    </row>
    <row r="476" spans="1:8" x14ac:dyDescent="0.3">
      <c r="A476" t="s">
        <v>976</v>
      </c>
      <c r="B476" t="s">
        <v>977</v>
      </c>
      <c r="C476" t="s">
        <v>10</v>
      </c>
      <c r="D476" t="s">
        <v>40</v>
      </c>
      <c r="E476" s="1">
        <v>45879</v>
      </c>
      <c r="F476" s="1">
        <v>45887</v>
      </c>
      <c r="G476" t="s">
        <v>16</v>
      </c>
      <c r="H476">
        <v>0</v>
      </c>
    </row>
    <row r="477" spans="1:8" x14ac:dyDescent="0.3">
      <c r="A477" t="s">
        <v>978</v>
      </c>
      <c r="B477" t="s">
        <v>979</v>
      </c>
      <c r="C477" t="s">
        <v>10</v>
      </c>
      <c r="D477" t="s">
        <v>11</v>
      </c>
      <c r="E477" s="1">
        <v>45690</v>
      </c>
      <c r="F477" s="1">
        <v>45701</v>
      </c>
      <c r="G477" t="s">
        <v>31</v>
      </c>
      <c r="H477">
        <v>0</v>
      </c>
    </row>
    <row r="478" spans="1:8" x14ac:dyDescent="0.3">
      <c r="A478" t="s">
        <v>980</v>
      </c>
      <c r="B478" t="s">
        <v>981</v>
      </c>
      <c r="C478" t="s">
        <v>113</v>
      </c>
      <c r="D478" t="s">
        <v>11</v>
      </c>
      <c r="E478" s="1">
        <v>45729</v>
      </c>
      <c r="G478" t="s">
        <v>16</v>
      </c>
      <c r="H478">
        <v>0</v>
      </c>
    </row>
    <row r="479" spans="1:8" x14ac:dyDescent="0.3">
      <c r="A479" t="s">
        <v>982</v>
      </c>
      <c r="B479" t="s">
        <v>983</v>
      </c>
      <c r="C479" t="s">
        <v>28</v>
      </c>
      <c r="D479" t="s">
        <v>11</v>
      </c>
      <c r="E479" s="1">
        <v>45775</v>
      </c>
      <c r="F479" s="1">
        <v>45788</v>
      </c>
      <c r="G479" t="s">
        <v>16</v>
      </c>
      <c r="H479">
        <v>0</v>
      </c>
    </row>
    <row r="480" spans="1:8" x14ac:dyDescent="0.3">
      <c r="A480" t="s">
        <v>984</v>
      </c>
      <c r="B480" t="s">
        <v>985</v>
      </c>
      <c r="C480" t="s">
        <v>19</v>
      </c>
      <c r="D480" t="s">
        <v>40</v>
      </c>
      <c r="E480" s="1">
        <v>45848</v>
      </c>
      <c r="F480" s="1">
        <v>45855</v>
      </c>
      <c r="G480" t="s">
        <v>12</v>
      </c>
      <c r="H480">
        <v>0</v>
      </c>
    </row>
    <row r="481" spans="1:8" x14ac:dyDescent="0.3">
      <c r="A481" t="s">
        <v>986</v>
      </c>
      <c r="B481" t="s">
        <v>987</v>
      </c>
      <c r="C481" t="s">
        <v>10</v>
      </c>
      <c r="D481" t="s">
        <v>40</v>
      </c>
      <c r="E481" s="1">
        <v>45799</v>
      </c>
      <c r="F481" s="1">
        <v>45808</v>
      </c>
      <c r="G481" t="s">
        <v>107</v>
      </c>
      <c r="H481">
        <v>0</v>
      </c>
    </row>
    <row r="482" spans="1:8" x14ac:dyDescent="0.3">
      <c r="A482" t="s">
        <v>988</v>
      </c>
      <c r="B482" t="s">
        <v>989</v>
      </c>
      <c r="C482" t="s">
        <v>10</v>
      </c>
      <c r="D482" t="s">
        <v>15</v>
      </c>
      <c r="E482" s="1">
        <v>45788</v>
      </c>
      <c r="G482" t="s">
        <v>107</v>
      </c>
      <c r="H482">
        <v>0</v>
      </c>
    </row>
    <row r="483" spans="1:8" x14ac:dyDescent="0.3">
      <c r="A483" t="s">
        <v>990</v>
      </c>
      <c r="B483" t="s">
        <v>991</v>
      </c>
      <c r="C483" t="s">
        <v>113</v>
      </c>
      <c r="D483" t="s">
        <v>15</v>
      </c>
      <c r="E483" s="1">
        <v>45785</v>
      </c>
      <c r="F483" s="1">
        <v>45793</v>
      </c>
      <c r="G483" t="s">
        <v>12</v>
      </c>
      <c r="H483">
        <v>226</v>
      </c>
    </row>
    <row r="484" spans="1:8" x14ac:dyDescent="0.3">
      <c r="A484" t="s">
        <v>992</v>
      </c>
      <c r="B484" t="s">
        <v>993</v>
      </c>
      <c r="C484" t="s">
        <v>22</v>
      </c>
      <c r="D484" t="s">
        <v>11</v>
      </c>
      <c r="E484" s="1">
        <v>45843</v>
      </c>
      <c r="F484" s="1">
        <v>45843</v>
      </c>
      <c r="G484" t="s">
        <v>16</v>
      </c>
      <c r="H484">
        <v>0</v>
      </c>
    </row>
    <row r="485" spans="1:8" x14ac:dyDescent="0.3">
      <c r="A485" t="s">
        <v>994</v>
      </c>
      <c r="B485" t="s">
        <v>995</v>
      </c>
      <c r="C485" t="s">
        <v>113</v>
      </c>
      <c r="D485" t="s">
        <v>15</v>
      </c>
      <c r="E485" s="1">
        <v>45732</v>
      </c>
      <c r="F485" s="1">
        <v>45744</v>
      </c>
      <c r="G485" t="s">
        <v>16</v>
      </c>
      <c r="H485">
        <v>0</v>
      </c>
    </row>
    <row r="486" spans="1:8" x14ac:dyDescent="0.3">
      <c r="A486" t="s">
        <v>996</v>
      </c>
      <c r="B486" t="s">
        <v>997</v>
      </c>
      <c r="C486" t="s">
        <v>28</v>
      </c>
      <c r="D486" t="s">
        <v>15</v>
      </c>
      <c r="E486" s="1">
        <v>45957</v>
      </c>
      <c r="F486" s="1">
        <v>45958</v>
      </c>
      <c r="G486" t="s">
        <v>110</v>
      </c>
      <c r="H486">
        <v>0</v>
      </c>
    </row>
    <row r="487" spans="1:8" x14ac:dyDescent="0.3">
      <c r="A487" t="s">
        <v>998</v>
      </c>
      <c r="B487" t="s">
        <v>999</v>
      </c>
      <c r="C487" t="s">
        <v>22</v>
      </c>
      <c r="D487" t="s">
        <v>65</v>
      </c>
      <c r="E487" s="1">
        <v>45850</v>
      </c>
      <c r="F487" s="1">
        <v>45864</v>
      </c>
      <c r="G487" t="s">
        <v>12</v>
      </c>
      <c r="H487">
        <v>0</v>
      </c>
    </row>
    <row r="488" spans="1:8" x14ac:dyDescent="0.3">
      <c r="A488" t="s">
        <v>1000</v>
      </c>
      <c r="B488" t="s">
        <v>1001</v>
      </c>
      <c r="C488" t="s">
        <v>113</v>
      </c>
      <c r="D488" t="s">
        <v>11</v>
      </c>
      <c r="E488" s="1">
        <v>45895</v>
      </c>
      <c r="G488" t="s">
        <v>16</v>
      </c>
      <c r="H488">
        <v>0</v>
      </c>
    </row>
    <row r="489" spans="1:8" x14ac:dyDescent="0.3">
      <c r="A489" t="s">
        <v>1002</v>
      </c>
      <c r="B489" t="s">
        <v>1003</v>
      </c>
      <c r="C489" t="s">
        <v>10</v>
      </c>
      <c r="D489" t="s">
        <v>65</v>
      </c>
      <c r="E489" s="1">
        <v>45797</v>
      </c>
      <c r="F489" s="1">
        <v>45799</v>
      </c>
      <c r="G489" t="s">
        <v>110</v>
      </c>
      <c r="H489">
        <v>0</v>
      </c>
    </row>
    <row r="490" spans="1:8" x14ac:dyDescent="0.3">
      <c r="A490" t="s">
        <v>1004</v>
      </c>
      <c r="B490" t="s">
        <v>1005</v>
      </c>
      <c r="C490" t="s">
        <v>22</v>
      </c>
      <c r="D490" t="s">
        <v>15</v>
      </c>
      <c r="E490" s="1">
        <v>45856</v>
      </c>
      <c r="F490" s="1">
        <v>45869</v>
      </c>
      <c r="G490" t="s">
        <v>110</v>
      </c>
      <c r="H490">
        <v>0</v>
      </c>
    </row>
    <row r="491" spans="1:8" x14ac:dyDescent="0.3">
      <c r="A491" t="s">
        <v>1006</v>
      </c>
      <c r="B491" t="s">
        <v>1007</v>
      </c>
      <c r="C491" t="s">
        <v>19</v>
      </c>
      <c r="D491" t="s">
        <v>15</v>
      </c>
      <c r="E491" s="1">
        <v>45757</v>
      </c>
      <c r="G491" t="s">
        <v>16</v>
      </c>
      <c r="H491">
        <v>0</v>
      </c>
    </row>
    <row r="492" spans="1:8" x14ac:dyDescent="0.3">
      <c r="A492" t="s">
        <v>1008</v>
      </c>
      <c r="B492" t="s">
        <v>1009</v>
      </c>
      <c r="C492" t="s">
        <v>22</v>
      </c>
      <c r="D492" t="s">
        <v>65</v>
      </c>
      <c r="E492" s="1">
        <v>45948</v>
      </c>
      <c r="F492" s="1">
        <v>45955</v>
      </c>
      <c r="G492" t="s">
        <v>31</v>
      </c>
      <c r="H492">
        <v>0</v>
      </c>
    </row>
    <row r="493" spans="1:8" x14ac:dyDescent="0.3">
      <c r="A493" t="s">
        <v>1010</v>
      </c>
      <c r="B493" t="s">
        <v>1011</v>
      </c>
      <c r="C493" t="s">
        <v>28</v>
      </c>
      <c r="D493" t="s">
        <v>65</v>
      </c>
      <c r="E493" s="1">
        <v>45780</v>
      </c>
      <c r="F493" s="1">
        <v>45794</v>
      </c>
      <c r="G493" t="s">
        <v>16</v>
      </c>
      <c r="H493">
        <v>0</v>
      </c>
    </row>
    <row r="494" spans="1:8" x14ac:dyDescent="0.3">
      <c r="A494" t="s">
        <v>1012</v>
      </c>
      <c r="B494" t="s">
        <v>1013</v>
      </c>
      <c r="C494" t="s">
        <v>28</v>
      </c>
      <c r="D494" t="s">
        <v>40</v>
      </c>
      <c r="E494" s="1">
        <v>45894</v>
      </c>
      <c r="G494" t="s">
        <v>110</v>
      </c>
      <c r="H494">
        <v>0</v>
      </c>
    </row>
    <row r="495" spans="1:8" x14ac:dyDescent="0.3">
      <c r="A495" t="s">
        <v>1014</v>
      </c>
      <c r="B495" t="s">
        <v>1015</v>
      </c>
      <c r="C495" t="s">
        <v>113</v>
      </c>
      <c r="D495" t="s">
        <v>65</v>
      </c>
      <c r="E495" s="1">
        <v>45720</v>
      </c>
      <c r="F495" s="1">
        <v>45731</v>
      </c>
      <c r="G495" t="s">
        <v>31</v>
      </c>
      <c r="H495">
        <v>0</v>
      </c>
    </row>
    <row r="496" spans="1:8" x14ac:dyDescent="0.3">
      <c r="A496" t="s">
        <v>1016</v>
      </c>
      <c r="B496" t="s">
        <v>1017</v>
      </c>
      <c r="C496" t="s">
        <v>22</v>
      </c>
      <c r="D496" t="s">
        <v>40</v>
      </c>
      <c r="E496" s="1">
        <v>45957</v>
      </c>
      <c r="F496" s="1">
        <v>45972</v>
      </c>
      <c r="G496" t="s">
        <v>16</v>
      </c>
      <c r="H496">
        <v>0</v>
      </c>
    </row>
    <row r="497" spans="1:8" x14ac:dyDescent="0.3">
      <c r="A497" t="s">
        <v>1018</v>
      </c>
      <c r="B497" t="s">
        <v>1019</v>
      </c>
      <c r="C497" t="s">
        <v>10</v>
      </c>
      <c r="D497" t="s">
        <v>40</v>
      </c>
      <c r="E497" s="1">
        <v>45839</v>
      </c>
      <c r="G497" t="s">
        <v>31</v>
      </c>
      <c r="H497">
        <v>0</v>
      </c>
    </row>
    <row r="498" spans="1:8" x14ac:dyDescent="0.3">
      <c r="A498" t="s">
        <v>1020</v>
      </c>
      <c r="B498" t="s">
        <v>1021</v>
      </c>
      <c r="C498" t="s">
        <v>28</v>
      </c>
      <c r="D498" t="s">
        <v>11</v>
      </c>
      <c r="E498" s="1">
        <v>45670</v>
      </c>
      <c r="F498" s="1">
        <v>45685</v>
      </c>
      <c r="G498" t="s">
        <v>110</v>
      </c>
      <c r="H498">
        <v>0</v>
      </c>
    </row>
    <row r="499" spans="1:8" x14ac:dyDescent="0.3">
      <c r="A499" t="s">
        <v>1022</v>
      </c>
      <c r="B499" t="s">
        <v>1023</v>
      </c>
      <c r="C499" t="s">
        <v>19</v>
      </c>
      <c r="D499" t="s">
        <v>15</v>
      </c>
      <c r="E499" s="1">
        <v>45683</v>
      </c>
      <c r="G499" t="s">
        <v>110</v>
      </c>
      <c r="H499">
        <v>0</v>
      </c>
    </row>
    <row r="500" spans="1:8" x14ac:dyDescent="0.3">
      <c r="A500" t="s">
        <v>1024</v>
      </c>
      <c r="B500" t="s">
        <v>1025</v>
      </c>
      <c r="C500" t="s">
        <v>19</v>
      </c>
      <c r="D500" t="s">
        <v>40</v>
      </c>
      <c r="E500" s="1">
        <v>45953</v>
      </c>
      <c r="F500" s="1">
        <v>45963</v>
      </c>
      <c r="G500" t="s">
        <v>110</v>
      </c>
      <c r="H500">
        <v>0</v>
      </c>
    </row>
    <row r="501" spans="1:8" x14ac:dyDescent="0.3">
      <c r="A501" t="s">
        <v>1026</v>
      </c>
      <c r="B501" t="s">
        <v>1027</v>
      </c>
      <c r="C501" t="s">
        <v>113</v>
      </c>
      <c r="D501" t="s">
        <v>15</v>
      </c>
      <c r="E501" s="1">
        <v>45944</v>
      </c>
      <c r="F501" s="1">
        <v>45954</v>
      </c>
      <c r="G501" t="s">
        <v>110</v>
      </c>
      <c r="H501">
        <v>0</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Dashboard</vt:lpstr>
      <vt:lpstr>Document_Data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Inamul Hasan Mohamed Ibrahim</cp:lastModifiedBy>
  <dcterms:created xsi:type="dcterms:W3CDTF">2025-11-10T14:52:47Z</dcterms:created>
  <dcterms:modified xsi:type="dcterms:W3CDTF">2025-11-12T08:58:54Z</dcterms:modified>
</cp:coreProperties>
</file>