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namul Hasan\Desktop\"/>
    </mc:Choice>
  </mc:AlternateContent>
  <xr:revisionPtr revIDLastSave="0" documentId="13_ncr:1_{FCAEDE21-CAA5-44F3-BB2A-BE15BBDFC85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mployee_Data" sheetId="1" r:id="rId1"/>
    <sheet name="Day1_Practice" sheetId="3" r:id="rId2"/>
    <sheet name="Day2_Practice" sheetId="4" r:id="rId3"/>
    <sheet name="Day3_Practice" sheetId="5" r:id="rId4"/>
    <sheet name="Day4_Practice" sheetId="6" r:id="rId5"/>
    <sheet name="Day5_Practice" sheetId="7" r:id="rId6"/>
    <sheet name="Day6_Practice" sheetId="8" r:id="rId7"/>
    <sheet name="Day7_Practice" sheetId="9" r:id="rId8"/>
  </sheets>
  <definedNames>
    <definedName name="_xlnm._FilterDatabase" localSheetId="0" hidden="1">Employee_Data!$A$1:$G$51</definedName>
  </definedNames>
  <calcPr calcId="191029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I3" i="4"/>
  <c r="I4" i="4"/>
  <c r="I5" i="4"/>
  <c r="I6" i="4"/>
  <c r="I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B5" i="4"/>
  <c r="B7" i="4"/>
  <c r="B6" i="4"/>
  <c r="B4" i="4"/>
  <c r="B3" i="4"/>
  <c r="B2" i="4"/>
  <c r="I6" i="3"/>
  <c r="I5" i="3"/>
  <c r="I4" i="3"/>
  <c r="I3" i="3"/>
  <c r="I2" i="3"/>
  <c r="O4" i="1"/>
  <c r="O5" i="1"/>
  <c r="O6" i="1"/>
  <c r="O7" i="1"/>
  <c r="O3" i="1"/>
  <c r="N4" i="1"/>
  <c r="N5" i="1"/>
  <c r="N6" i="1"/>
  <c r="N7" i="1"/>
  <c r="N3" i="1"/>
  <c r="M4" i="1"/>
  <c r="M5" i="1"/>
  <c r="M6" i="1"/>
  <c r="M7" i="1"/>
  <c r="M3" i="1"/>
  <c r="I6" i="1"/>
  <c r="I7" i="1"/>
  <c r="I14" i="1"/>
  <c r="I15" i="1"/>
  <c r="I22" i="1"/>
  <c r="I23" i="1"/>
  <c r="I30" i="1"/>
  <c r="I31" i="1"/>
  <c r="I38" i="1"/>
  <c r="I39" i="1"/>
  <c r="I46" i="1"/>
  <c r="I47" i="1"/>
  <c r="H3" i="1"/>
  <c r="I3" i="1" s="1"/>
  <c r="H4" i="1"/>
  <c r="I4" i="1" s="1"/>
  <c r="H5" i="1"/>
  <c r="I5" i="1" s="1"/>
  <c r="H6" i="1"/>
  <c r="H7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H15" i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H23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H31" i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H39" i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H47" i="1"/>
  <c r="H48" i="1"/>
  <c r="I48" i="1" s="1"/>
  <c r="H49" i="1"/>
  <c r="I49" i="1" s="1"/>
  <c r="H50" i="1"/>
  <c r="I50" i="1" s="1"/>
  <c r="H51" i="1"/>
  <c r="I51" i="1" s="1"/>
  <c r="H2" i="1"/>
  <c r="I2" i="1" s="1"/>
</calcChain>
</file>

<file path=xl/sharedStrings.xml><?xml version="1.0" encoding="utf-8"?>
<sst xmlns="http://schemas.openxmlformats.org/spreadsheetml/2006/main" count="238" uniqueCount="160">
  <si>
    <t>Emp_ID</t>
  </si>
  <si>
    <t>Name</t>
  </si>
  <si>
    <t>Department</t>
  </si>
  <si>
    <t>Basic_Salary</t>
  </si>
  <si>
    <t>Bonus_%</t>
  </si>
  <si>
    <t>Joining_Date</t>
  </si>
  <si>
    <t>DOB</t>
  </si>
  <si>
    <t>E001</t>
  </si>
  <si>
    <t>Employee_1</t>
  </si>
  <si>
    <t>HR</t>
  </si>
  <si>
    <t>E002</t>
  </si>
  <si>
    <t>Employee_2</t>
  </si>
  <si>
    <t>Finance</t>
  </si>
  <si>
    <t>E003</t>
  </si>
  <si>
    <t>Employee_3</t>
  </si>
  <si>
    <t>E004</t>
  </si>
  <si>
    <t>Employee_4</t>
  </si>
  <si>
    <t>Marketing</t>
  </si>
  <si>
    <t>E005</t>
  </si>
  <si>
    <t>Employee_5</t>
  </si>
  <si>
    <t>E006</t>
  </si>
  <si>
    <t>Employee_6</t>
  </si>
  <si>
    <t>IT</t>
  </si>
  <si>
    <t>E007</t>
  </si>
  <si>
    <t>Employee_7</t>
  </si>
  <si>
    <t>E008</t>
  </si>
  <si>
    <t>Employee_8</t>
  </si>
  <si>
    <t>E009</t>
  </si>
  <si>
    <t>Employee_9</t>
  </si>
  <si>
    <t>E010</t>
  </si>
  <si>
    <t>Employee_10</t>
  </si>
  <si>
    <t>Sales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</si>
  <si>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</si>
  <si>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</si>
  <si>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</si>
  <si>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</si>
  <si>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</si>
  <si>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</si>
  <si>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</si>
  <si>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</si>
  <si>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</si>
  <si>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</si>
  <si>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</si>
  <si>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</si>
  <si>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</si>
  <si>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</si>
  <si>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</si>
  <si>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</si>
  <si>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</si>
  <si>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</si>
  <si>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</si>
  <si>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</si>
  <si>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</si>
  <si>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</si>
  <si>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</si>
  <si>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</si>
  <si>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</si>
  <si>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</si>
  <si>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</si>
  <si>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</si>
  <si>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</si>
  <si>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</si>
  <si>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</si>
  <si>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</si>
  <si>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</si>
  <si>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</si>
  <si>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</si>
  <si>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</si>
  <si>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</si>
  <si>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</si>
  <si>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</si>
  <si>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</si>
  <si>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</si>
  <si>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</si>
  <si>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</si>
  <si>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</si>
  <si>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</si>
  <si>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</si>
  <si>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</si>
  <si>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</si>
  <si>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</si>
  <si>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</si>
  <si>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</si>
  <si>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</si>
  <si>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</si>
  <si>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</si>
  <si>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</si>
  <si>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</si>
  <si>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</si>
  <si>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</si>
  <si>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</si>
  <si>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</si>
  <si>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</si>
  <si>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</si>
  <si>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</si>
  <si>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</si>
  <si>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</si>
  <si>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</si>
  <si>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</si>
  <si>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</si>
  <si>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</si>
  <si>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</si>
  <si>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</si>
  <si>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</si>
  <si>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</si>
  <si>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</si>
  <si>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</si>
  <si>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</si>
  <si>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</si>
  <si>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</si>
  <si>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</si>
  <si>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</si>
  <si>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Instructions</t>
  </si>
  <si>
    <t>Practice tasks for Day 3</t>
  </si>
  <si>
    <t>Practice tasks for Day 4</t>
  </si>
  <si>
    <t>Practice tasks for Day 5</t>
  </si>
  <si>
    <t>Practice tasks for Day 6</t>
  </si>
  <si>
    <t>Practice tasks for Day 7</t>
  </si>
  <si>
    <t xml:space="preserve">Average Salary </t>
  </si>
  <si>
    <t>Bonus Amount</t>
  </si>
  <si>
    <t xml:space="preserve">Total Salary </t>
  </si>
  <si>
    <t xml:space="preserve">Department </t>
  </si>
  <si>
    <t xml:space="preserve">Highest  Salary </t>
  </si>
  <si>
    <t xml:space="preserve">No. of Employees </t>
  </si>
  <si>
    <t>Project</t>
  </si>
  <si>
    <t>Hours_Worked</t>
  </si>
  <si>
    <t>Hourly_Rate</t>
  </si>
  <si>
    <t>Total_Pay</t>
  </si>
  <si>
    <t>City</t>
  </si>
  <si>
    <t>Aisha</t>
  </si>
  <si>
    <t>HRMS</t>
  </si>
  <si>
    <t>Dubai</t>
  </si>
  <si>
    <t>Bilal</t>
  </si>
  <si>
    <t>ERP</t>
  </si>
  <si>
    <t>Riyadh</t>
  </si>
  <si>
    <t>Nisa</t>
  </si>
  <si>
    <t>Payroll</t>
  </si>
  <si>
    <t>Jeddah</t>
  </si>
  <si>
    <t>Imran</t>
  </si>
  <si>
    <t>WebApp</t>
  </si>
  <si>
    <t>Sara</t>
  </si>
  <si>
    <t>Admin</t>
  </si>
  <si>
    <t>OfficeMgmt</t>
  </si>
  <si>
    <t>Formula Type</t>
  </si>
  <si>
    <t>Example</t>
  </si>
  <si>
    <t>Description</t>
  </si>
  <si>
    <t>VLOOKUP</t>
  </si>
  <si>
    <t>Find Hourly Rate of Nisa</t>
  </si>
  <si>
    <t>HLOOKUP</t>
  </si>
  <si>
    <t>Find total pay using header lookup</t>
  </si>
  <si>
    <t>XLOOKUP</t>
  </si>
  <si>
    <t>Find Department of Imran</t>
  </si>
  <si>
    <t>INDEX + MATCH</t>
  </si>
  <si>
    <t>Find Project of Sara</t>
  </si>
  <si>
    <t>SUMIFS</t>
  </si>
  <si>
    <t>Total Pay of employees in Dubai</t>
  </si>
  <si>
    <t>IF</t>
  </si>
  <si>
    <t>Check if employee worked more than 160 hours</t>
  </si>
  <si>
    <t xml:space="preserve">Hourly Rate 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</si>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</sst>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amul Hasan" refreshedDate="45915.490625347222" createdVersion="8" refreshedVersion="8" minRefreshableVersion="3" recordCount="50" xr:uid="{A97820A6-5002-41A9-92AB-8942A57E0928}">
  <cacheSource type="worksheet">
    <worksheetSource ref="A1:I51" sheet="Employee_Data"/>
  </cacheSource>
  <cacheFields count="9">
    <cacheField name="Emp_ID" numFmtId="0">
      <sharedItems/>
    </cacheField>
    <cacheField name="Name" numFmtId="0">
      <sharedItems/>
    </cacheField>
    <cacheField name="Department" numFmtId="0">
      <sharedItems count="5">
        <s v="HR"/>
        <s v="Finance"/>
        <s v="Marketing"/>
        <s v="IT"/>
        <s v="Sales"/>
      </sharedItems>
    </cacheField>
    <cacheField name="Basic_Salary" numFmtId="0">
      <sharedItems containsSemiMixedTypes="0" containsString="0" containsNumber="1" containsInteger="1" minValue="3053" maxValue="14851"/>
    </cacheField>
    <cacheField name="Bonus_%" numFmtId="0">
      <sharedItems containsSemiMixedTypes="0" containsString="0" containsNumber="1" containsInteger="1" minValue="5" maxValue="20"/>
    </cacheField>
    <cacheField name="Joining_Date" numFmtId="164">
      <sharedItems containsSemiMixedTypes="0" containsNonDate="0" containsDate="1" containsString="0" minDate="2015-09-06T00:00:00" maxDate="2024-10-06T00:00:00"/>
    </cacheField>
    <cacheField name="DOB" numFmtId="164">
      <sharedItems containsSemiMixedTypes="0" containsNonDate="0" containsDate="1" containsString="0" minDate="1997-02-28T00:00:00" maxDate="2015-07-24T00:00:00"/>
    </cacheField>
    <cacheField name="Bonus Amount" numFmtId="0">
      <sharedItems containsSemiMixedTypes="0" containsString="0" containsNumber="1" minValue="165.95" maxValue="2970.2"/>
    </cacheField>
    <cacheField name="Total Salary " numFmtId="0">
      <sharedItems containsSemiMixedTypes="0" containsString="0" containsNumber="1" minValue="3416.6" maxValue="1782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001"/>
    <s v="Employee_1"/>
    <x v="0"/>
    <n v="3409"/>
    <n v="15"/>
    <d v="2017-09-30T00:00:00"/>
    <d v="2001-11-28T00:00:00"/>
    <n v="511.35"/>
    <n v="3920.35"/>
  </r>
  <r>
    <s v="E002"/>
    <s v="Employee_2"/>
    <x v="1"/>
    <n v="4679"/>
    <n v="5"/>
    <d v="2021-08-15T00:00:00"/>
    <d v="2006-05-14T00:00:00"/>
    <n v="233.95"/>
    <n v="4912.95"/>
  </r>
  <r>
    <s v="E003"/>
    <s v="Employee_3"/>
    <x v="0"/>
    <n v="3488"/>
    <n v="5"/>
    <d v="2017-06-14T00:00:00"/>
    <d v="2002-02-13T00:00:00"/>
    <n v="174.4"/>
    <n v="3662.4"/>
  </r>
  <r>
    <s v="E004"/>
    <s v="Employee_4"/>
    <x v="2"/>
    <n v="12863"/>
    <n v="5"/>
    <d v="2021-04-17T00:00:00"/>
    <d v="2001-05-12T00:00:00"/>
    <n v="643.15"/>
    <n v="13506.15"/>
  </r>
  <r>
    <s v="E005"/>
    <s v="Employee_5"/>
    <x v="2"/>
    <n v="9873"/>
    <n v="10"/>
    <d v="2020-01-14T00:00:00"/>
    <d v="2010-02-13T00:00:00"/>
    <n v="987.3"/>
    <n v="10860.3"/>
  </r>
  <r>
    <s v="E006"/>
    <s v="Employee_6"/>
    <x v="3"/>
    <n v="3106"/>
    <n v="10"/>
    <d v="2022-10-30T00:00:00"/>
    <d v="2006-05-20T00:00:00"/>
    <n v="310.60000000000002"/>
    <n v="3416.6"/>
  </r>
  <r>
    <s v="E007"/>
    <s v="Employee_7"/>
    <x v="3"/>
    <n v="7552"/>
    <n v="10"/>
    <d v="2017-05-31T00:00:00"/>
    <d v="2014-01-10T00:00:00"/>
    <n v="755.2"/>
    <n v="8307.2000000000007"/>
  </r>
  <r>
    <s v="E008"/>
    <s v="Employee_8"/>
    <x v="3"/>
    <n v="4674"/>
    <n v="5"/>
    <d v="2019-04-06T00:00:00"/>
    <d v="1999-01-27T00:00:00"/>
    <n v="233.7"/>
    <n v="4907.7"/>
  </r>
  <r>
    <s v="E009"/>
    <s v="Employee_9"/>
    <x v="3"/>
    <n v="8635"/>
    <n v="15"/>
    <d v="2024-01-19T00:00:00"/>
    <d v="1997-11-16T00:00:00"/>
    <n v="1295.25"/>
    <n v="9930.25"/>
  </r>
  <r>
    <s v="E010"/>
    <s v="Employee_10"/>
    <x v="4"/>
    <n v="11785"/>
    <n v="5"/>
    <d v="2019-03-31T00:00:00"/>
    <d v="1998-09-02T00:00:00"/>
    <n v="589.25"/>
    <n v="12374.25"/>
  </r>
  <r>
    <s v="E011"/>
    <s v="Employee_11"/>
    <x v="2"/>
    <n v="7803"/>
    <n v="15"/>
    <d v="2021-06-22T00:00:00"/>
    <d v="2001-03-20T00:00:00"/>
    <n v="1170.45"/>
    <n v="8973.4500000000007"/>
  </r>
  <r>
    <s v="E012"/>
    <s v="Employee_12"/>
    <x v="0"/>
    <n v="3750"/>
    <n v="10"/>
    <d v="2023-09-02T00:00:00"/>
    <d v="2003-05-24T00:00:00"/>
    <n v="375"/>
    <n v="4125"/>
  </r>
  <r>
    <s v="E013"/>
    <s v="Employee_13"/>
    <x v="0"/>
    <n v="6814"/>
    <n v="5"/>
    <d v="2019-04-06T00:00:00"/>
    <d v="2003-02-20T00:00:00"/>
    <n v="340.7"/>
    <n v="7154.7"/>
  </r>
  <r>
    <s v="E014"/>
    <s v="Employee_14"/>
    <x v="4"/>
    <n v="13415"/>
    <n v="15"/>
    <d v="2016-10-28T00:00:00"/>
    <d v="2005-03-16T00:00:00"/>
    <n v="2012.25"/>
    <n v="15427.25"/>
  </r>
  <r>
    <s v="E015"/>
    <s v="Employee_15"/>
    <x v="3"/>
    <n v="6432"/>
    <n v="15"/>
    <d v="2022-11-14T00:00:00"/>
    <d v="2012-03-26T00:00:00"/>
    <n v="964.8"/>
    <n v="7396.8"/>
  </r>
  <r>
    <s v="E016"/>
    <s v="Employee_16"/>
    <x v="0"/>
    <n v="12980"/>
    <n v="10"/>
    <d v="2020-12-27T00:00:00"/>
    <d v="2013-04-04T00:00:00"/>
    <n v="1298"/>
    <n v="14278"/>
  </r>
  <r>
    <s v="E017"/>
    <s v="Employee_17"/>
    <x v="1"/>
    <n v="5677"/>
    <n v="20"/>
    <d v="2019-04-04T00:00:00"/>
    <d v="2002-12-16T00:00:00"/>
    <n v="1135.4000000000001"/>
    <n v="6812.4"/>
  </r>
  <r>
    <s v="E018"/>
    <s v="Employee_18"/>
    <x v="2"/>
    <n v="6598"/>
    <n v="15"/>
    <d v="2024-06-14T00:00:00"/>
    <d v="2014-02-19T00:00:00"/>
    <n v="989.7"/>
    <n v="7587.7"/>
  </r>
  <r>
    <s v="E019"/>
    <s v="Employee_19"/>
    <x v="0"/>
    <n v="6752"/>
    <n v="5"/>
    <d v="2024-01-11T00:00:00"/>
    <d v="2003-12-24T00:00:00"/>
    <n v="337.6"/>
    <n v="7089.6"/>
  </r>
  <r>
    <s v="E020"/>
    <s v="Employee_20"/>
    <x v="4"/>
    <n v="7386"/>
    <n v="5"/>
    <d v="2017-05-14T00:00:00"/>
    <d v="2009-08-16T00:00:00"/>
    <n v="369.3"/>
    <n v="7755.3"/>
  </r>
  <r>
    <s v="E021"/>
    <s v="Employee_21"/>
    <x v="3"/>
    <n v="6483"/>
    <n v="20"/>
    <d v="2019-06-09T00:00:00"/>
    <d v="2011-04-28T00:00:00"/>
    <n v="1296.5999999999999"/>
    <n v="7779.6"/>
  </r>
  <r>
    <s v="E022"/>
    <s v="Employee_22"/>
    <x v="4"/>
    <n v="5340"/>
    <n v="15"/>
    <d v="2016-07-25T00:00:00"/>
    <d v="2002-06-08T00:00:00"/>
    <n v="801"/>
    <n v="6141"/>
  </r>
  <r>
    <s v="E023"/>
    <s v="Employee_23"/>
    <x v="2"/>
    <n v="11830"/>
    <n v="15"/>
    <d v="2023-05-18T00:00:00"/>
    <d v="2010-01-05T00:00:00"/>
    <n v="1774.5"/>
    <n v="13604.5"/>
  </r>
  <r>
    <s v="E024"/>
    <s v="Employee_24"/>
    <x v="4"/>
    <n v="12560"/>
    <n v="20"/>
    <d v="2019-01-22T00:00:00"/>
    <d v="2001-10-27T00:00:00"/>
    <n v="2512"/>
    <n v="15072"/>
  </r>
  <r>
    <s v="E025"/>
    <s v="Employee_25"/>
    <x v="1"/>
    <n v="11348"/>
    <n v="20"/>
    <d v="2016-01-08T00:00:00"/>
    <d v="2013-11-08T00:00:00"/>
    <n v="2269.6"/>
    <n v="13617.6"/>
  </r>
  <r>
    <s v="E026"/>
    <s v="Employee_26"/>
    <x v="0"/>
    <n v="4796"/>
    <n v="10"/>
    <d v="2022-01-14T00:00:00"/>
    <d v="2000-06-28T00:00:00"/>
    <n v="479.6"/>
    <n v="5275.6"/>
  </r>
  <r>
    <s v="E027"/>
    <s v="Employee_27"/>
    <x v="4"/>
    <n v="12771"/>
    <n v="5"/>
    <d v="2019-04-26T00:00:00"/>
    <d v="2005-06-18T00:00:00"/>
    <n v="638.54999999999995"/>
    <n v="13409.55"/>
  </r>
  <r>
    <s v="E028"/>
    <s v="Employee_28"/>
    <x v="2"/>
    <n v="10668"/>
    <n v="15"/>
    <d v="2021-03-16T00:00:00"/>
    <d v="1997-02-28T00:00:00"/>
    <n v="1600.2"/>
    <n v="12268.2"/>
  </r>
  <r>
    <s v="E029"/>
    <s v="Employee_29"/>
    <x v="0"/>
    <n v="14169"/>
    <n v="15"/>
    <d v="2023-08-15T00:00:00"/>
    <d v="2011-04-12T00:00:00"/>
    <n v="2125.35"/>
    <n v="16294.35"/>
  </r>
  <r>
    <s v="E030"/>
    <s v="Employee_30"/>
    <x v="3"/>
    <n v="4827"/>
    <n v="15"/>
    <d v="2019-11-16T00:00:00"/>
    <d v="2000-06-13T00:00:00"/>
    <n v="724.05"/>
    <n v="5551.05"/>
  </r>
  <r>
    <s v="E031"/>
    <s v="Employee_31"/>
    <x v="4"/>
    <n v="3053"/>
    <n v="15"/>
    <d v="2020-08-12T00:00:00"/>
    <d v="2013-12-28T00:00:00"/>
    <n v="457.95"/>
    <n v="3510.95"/>
  </r>
  <r>
    <s v="E032"/>
    <s v="Employee_32"/>
    <x v="1"/>
    <n v="11317"/>
    <n v="5"/>
    <d v="2024-10-05T00:00:00"/>
    <d v="2010-12-05T00:00:00"/>
    <n v="565.85"/>
    <n v="11882.85"/>
  </r>
  <r>
    <s v="E033"/>
    <s v="Employee_33"/>
    <x v="3"/>
    <n v="13468"/>
    <n v="10"/>
    <d v="2016-09-18T00:00:00"/>
    <d v="2005-04-16T00:00:00"/>
    <n v="1346.8"/>
    <n v="14814.8"/>
  </r>
  <r>
    <s v="E034"/>
    <s v="Employee_34"/>
    <x v="1"/>
    <n v="11837"/>
    <n v="5"/>
    <d v="2021-09-19T00:00:00"/>
    <d v="2004-03-04T00:00:00"/>
    <n v="591.85"/>
    <n v="12428.85"/>
  </r>
  <r>
    <s v="E035"/>
    <s v="Employee_35"/>
    <x v="4"/>
    <n v="3319"/>
    <n v="5"/>
    <d v="2019-01-26T00:00:00"/>
    <d v="2015-07-23T00:00:00"/>
    <n v="165.95"/>
    <n v="3484.95"/>
  </r>
  <r>
    <s v="E036"/>
    <s v="Employee_36"/>
    <x v="3"/>
    <n v="6923"/>
    <n v="5"/>
    <d v="2017-09-13T00:00:00"/>
    <d v="2009-08-17T00:00:00"/>
    <n v="346.15"/>
    <n v="7269.15"/>
  </r>
  <r>
    <s v="E037"/>
    <s v="Employee_37"/>
    <x v="0"/>
    <n v="4403"/>
    <n v="20"/>
    <d v="2024-02-25T00:00:00"/>
    <d v="1998-06-15T00:00:00"/>
    <n v="880.6"/>
    <n v="5283.6"/>
  </r>
  <r>
    <s v="E038"/>
    <s v="Employee_38"/>
    <x v="2"/>
    <n v="5060"/>
    <n v="10"/>
    <d v="2022-05-26T00:00:00"/>
    <d v="2007-07-25T00:00:00"/>
    <n v="506"/>
    <n v="5566"/>
  </r>
  <r>
    <s v="E039"/>
    <s v="Employee_39"/>
    <x v="2"/>
    <n v="5705"/>
    <n v="15"/>
    <d v="2020-12-01T00:00:00"/>
    <d v="2010-07-05T00:00:00"/>
    <n v="855.75"/>
    <n v="6560.75"/>
  </r>
  <r>
    <s v="E040"/>
    <s v="Employee_40"/>
    <x v="4"/>
    <n v="6470"/>
    <n v="10"/>
    <d v="2022-12-30T00:00:00"/>
    <d v="2003-11-23T00:00:00"/>
    <n v="647"/>
    <n v="7117"/>
  </r>
  <r>
    <s v="E041"/>
    <s v="Employee_41"/>
    <x v="4"/>
    <n v="14004"/>
    <n v="15"/>
    <d v="2019-11-30T00:00:00"/>
    <d v="2008-07-05T00:00:00"/>
    <n v="2100.6"/>
    <n v="16104.6"/>
  </r>
  <r>
    <s v="E042"/>
    <s v="Employee_42"/>
    <x v="4"/>
    <n v="4982"/>
    <n v="10"/>
    <d v="2017-07-09T00:00:00"/>
    <d v="1998-05-04T00:00:00"/>
    <n v="498.2"/>
    <n v="5480.2"/>
  </r>
  <r>
    <s v="E043"/>
    <s v="Employee_43"/>
    <x v="3"/>
    <n v="3344"/>
    <n v="10"/>
    <d v="2021-08-07T00:00:00"/>
    <d v="2001-11-04T00:00:00"/>
    <n v="334.4"/>
    <n v="3678.4"/>
  </r>
  <r>
    <s v="E044"/>
    <s v="Employee_44"/>
    <x v="0"/>
    <n v="4163"/>
    <n v="5"/>
    <d v="2017-07-26T00:00:00"/>
    <d v="1998-06-01T00:00:00"/>
    <n v="208.15"/>
    <n v="4371.1499999999996"/>
  </r>
  <r>
    <s v="E045"/>
    <s v="Employee_45"/>
    <x v="0"/>
    <n v="8413"/>
    <n v="5"/>
    <d v="2020-10-06T00:00:00"/>
    <d v="2002-03-29T00:00:00"/>
    <n v="420.65"/>
    <n v="8833.65"/>
  </r>
  <r>
    <s v="E046"/>
    <s v="Employee_46"/>
    <x v="3"/>
    <n v="13960"/>
    <n v="20"/>
    <d v="2017-05-27T00:00:00"/>
    <d v="2008-12-30T00:00:00"/>
    <n v="2792"/>
    <n v="16752"/>
  </r>
  <r>
    <s v="E047"/>
    <s v="Employee_47"/>
    <x v="1"/>
    <n v="14851"/>
    <n v="20"/>
    <d v="2017-09-22T00:00:00"/>
    <d v="2014-07-02T00:00:00"/>
    <n v="2970.2"/>
    <n v="17821.2"/>
  </r>
  <r>
    <s v="E048"/>
    <s v="Employee_48"/>
    <x v="4"/>
    <n v="9669"/>
    <n v="10"/>
    <d v="2016-01-22T00:00:00"/>
    <d v="1999-01-29T00:00:00"/>
    <n v="966.9"/>
    <n v="10635.9"/>
  </r>
  <r>
    <s v="E049"/>
    <s v="Employee_49"/>
    <x v="4"/>
    <n v="8804"/>
    <n v="20"/>
    <d v="2019-08-11T00:00:00"/>
    <d v="2007-05-18T00:00:00"/>
    <n v="1760.8"/>
    <n v="10564.8"/>
  </r>
  <r>
    <s v="E050"/>
    <s v="Employee_50"/>
    <x v="0"/>
    <n v="14032"/>
    <n v="5"/>
    <d v="2015-09-06T00:00:00"/>
    <d v="2005-12-07T00:00:00"/>
    <n v="701.6"/>
    <n v="1473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D7613-A948-406B-98C0-DA75EAAE3020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showHeaders="0" outline="1" outlineData="1" multipleFieldFilters="0" fieldListSortAscending="1">
  <location ref="L3:L7" firstHeaderRow="0" firstDataRow="0" firstDataCol="1"/>
  <pivotFields count="9"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formats count="2">
    <format dxfId="1">
      <pivotArea type="all" dataOnly="0" outline="0" fieldPosition="0"/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>
      <selection activeCell="L13" sqref="L13"/>
    </sheetView>
  </sheetViews>
  <sheetFormatPr defaultRowHeight="14.4" x14ac:dyDescent="0.3"/>
  <cols>
    <col min="1" max="1" width="7.5546875" bestFit="1" customWidth="1"/>
    <col min="2" max="2" width="12" bestFit="1" customWidth="1"/>
    <col min="3" max="3" width="11.109375" bestFit="1" customWidth="1"/>
    <col min="4" max="4" width="11.33203125" bestFit="1" customWidth="1"/>
    <col min="5" max="5" width="8.6640625" bestFit="1" customWidth="1"/>
    <col min="6" max="6" width="11.77734375" bestFit="1" customWidth="1"/>
    <col min="7" max="7" width="10.33203125" bestFit="1" customWidth="1"/>
    <col min="8" max="8" width="13.6640625" bestFit="1" customWidth="1"/>
    <col min="9" max="9" width="11.21875" bestFit="1" customWidth="1"/>
    <col min="12" max="12" width="13.44140625" bestFit="1" customWidth="1"/>
    <col min="13" max="13" width="16" bestFit="1" customWidth="1"/>
    <col min="14" max="14" width="13.4414062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5" t="s">
        <v>119</v>
      </c>
      <c r="I1" s="5" t="s">
        <v>120</v>
      </c>
    </row>
    <row r="2" spans="1:15" x14ac:dyDescent="0.3">
      <c r="A2" t="s">
        <v>7</v>
      </c>
      <c r="B2" t="s">
        <v>8</v>
      </c>
      <c r="C2" t="s">
        <v>9</v>
      </c>
      <c r="D2">
        <v>3409</v>
      </c>
      <c r="E2">
        <v>15</v>
      </c>
      <c r="F2" s="2">
        <v>43008</v>
      </c>
      <c r="G2" s="2">
        <v>37223</v>
      </c>
      <c r="H2" s="6">
        <f>D2*E2/100</f>
        <v>511.35</v>
      </c>
      <c r="I2" s="6">
        <f>SUM(D2,H2)</f>
        <v>3920.35</v>
      </c>
      <c r="L2" s="9" t="s">
        <v>121</v>
      </c>
      <c r="M2" s="9" t="s">
        <v>123</v>
      </c>
      <c r="N2" s="9" t="s">
        <v>118</v>
      </c>
      <c r="O2" s="9" t="s">
        <v>122</v>
      </c>
    </row>
    <row r="3" spans="1:15" x14ac:dyDescent="0.3">
      <c r="A3" t="s">
        <v>10</v>
      </c>
      <c r="B3" t="s">
        <v>11</v>
      </c>
      <c r="C3" t="s">
        <v>12</v>
      </c>
      <c r="D3">
        <v>4679</v>
      </c>
      <c r="E3">
        <v>5</v>
      </c>
      <c r="F3" s="2">
        <v>44423</v>
      </c>
      <c r="G3" s="2">
        <v>38851</v>
      </c>
      <c r="H3" s="6">
        <f t="shared" ref="H3:H51" si="0">D3*E3/100</f>
        <v>233.95</v>
      </c>
      <c r="I3" s="6">
        <f t="shared" ref="I3:I51" si="1">SUM(D3,H3)</f>
        <v>4912.95</v>
      </c>
      <c r="L3" s="8" t="s">
        <v>12</v>
      </c>
      <c r="M3" s="8">
        <f>COUNTIF(C:C,L3)</f>
        <v>6</v>
      </c>
      <c r="N3" s="4">
        <f>AVERAGEIF(C:C,L3,I:I)</f>
        <v>11245.974999999999</v>
      </c>
      <c r="O3" s="4">
        <f>_xlfn.MAXIFS(I:I,C:C,L3)</f>
        <v>17821.2</v>
      </c>
    </row>
    <row r="4" spans="1:15" x14ac:dyDescent="0.3">
      <c r="A4" t="s">
        <v>13</v>
      </c>
      <c r="B4" t="s">
        <v>14</v>
      </c>
      <c r="C4" t="s">
        <v>9</v>
      </c>
      <c r="D4">
        <v>3488</v>
      </c>
      <c r="E4">
        <v>5</v>
      </c>
      <c r="F4" s="2">
        <v>42900</v>
      </c>
      <c r="G4" s="2">
        <v>37300</v>
      </c>
      <c r="H4" s="6">
        <f t="shared" si="0"/>
        <v>174.4</v>
      </c>
      <c r="I4" s="6">
        <f t="shared" si="1"/>
        <v>3662.4</v>
      </c>
      <c r="L4" s="8" t="s">
        <v>9</v>
      </c>
      <c r="M4" s="8">
        <f t="shared" ref="M4:M7" si="2">COUNTIF(C:C,L4)</f>
        <v>12</v>
      </c>
      <c r="N4" s="4">
        <f t="shared" ref="N4:N7" si="3">AVERAGEIF(C:C,L4,I:I)</f>
        <v>7918.4999999999991</v>
      </c>
      <c r="O4" s="4">
        <f t="shared" ref="O4:O7" si="4">_xlfn.MAXIFS(I:I,C:C,L4)</f>
        <v>16294.35</v>
      </c>
    </row>
    <row r="5" spans="1:15" x14ac:dyDescent="0.3">
      <c r="A5" t="s">
        <v>15</v>
      </c>
      <c r="B5" t="s">
        <v>16</v>
      </c>
      <c r="C5" t="s">
        <v>17</v>
      </c>
      <c r="D5">
        <v>12863</v>
      </c>
      <c r="E5">
        <v>5</v>
      </c>
      <c r="F5" s="2">
        <v>44303</v>
      </c>
      <c r="G5" s="2">
        <v>37023</v>
      </c>
      <c r="H5" s="6">
        <f t="shared" si="0"/>
        <v>643.15</v>
      </c>
      <c r="I5" s="6">
        <f t="shared" si="1"/>
        <v>13506.15</v>
      </c>
      <c r="L5" s="8" t="s">
        <v>22</v>
      </c>
      <c r="M5" s="8">
        <f t="shared" si="2"/>
        <v>11</v>
      </c>
      <c r="N5" s="4">
        <f t="shared" si="3"/>
        <v>8163.9590909090903</v>
      </c>
      <c r="O5" s="4">
        <f t="shared" si="4"/>
        <v>16752</v>
      </c>
    </row>
    <row r="6" spans="1:15" x14ac:dyDescent="0.3">
      <c r="A6" t="s">
        <v>18</v>
      </c>
      <c r="B6" t="s">
        <v>19</v>
      </c>
      <c r="C6" t="s">
        <v>17</v>
      </c>
      <c r="D6">
        <v>9873</v>
      </c>
      <c r="E6">
        <v>10</v>
      </c>
      <c r="F6" s="2">
        <v>43844</v>
      </c>
      <c r="G6" s="2">
        <v>40222</v>
      </c>
      <c r="H6" s="6">
        <f t="shared" si="0"/>
        <v>987.3</v>
      </c>
      <c r="I6" s="6">
        <f t="shared" si="1"/>
        <v>10860.3</v>
      </c>
      <c r="L6" s="8" t="s">
        <v>17</v>
      </c>
      <c r="M6" s="8">
        <f t="shared" si="2"/>
        <v>8</v>
      </c>
      <c r="N6" s="4">
        <f t="shared" si="3"/>
        <v>9865.8812499999985</v>
      </c>
      <c r="O6" s="4">
        <f t="shared" si="4"/>
        <v>13604.5</v>
      </c>
    </row>
    <row r="7" spans="1:15" x14ac:dyDescent="0.3">
      <c r="A7" t="s">
        <v>20</v>
      </c>
      <c r="B7" t="s">
        <v>21</v>
      </c>
      <c r="C7" t="s">
        <v>22</v>
      </c>
      <c r="D7">
        <v>3106</v>
      </c>
      <c r="E7">
        <v>10</v>
      </c>
      <c r="F7" s="2">
        <v>44864</v>
      </c>
      <c r="G7" s="2">
        <v>38857</v>
      </c>
      <c r="H7" s="6">
        <f t="shared" si="0"/>
        <v>310.60000000000002</v>
      </c>
      <c r="I7" s="6">
        <f t="shared" si="1"/>
        <v>3416.6</v>
      </c>
      <c r="L7" s="8" t="s">
        <v>31</v>
      </c>
      <c r="M7" s="8">
        <f t="shared" si="2"/>
        <v>13</v>
      </c>
      <c r="N7" s="4">
        <f t="shared" si="3"/>
        <v>9775.211538461539</v>
      </c>
      <c r="O7" s="4">
        <f t="shared" si="4"/>
        <v>16104.6</v>
      </c>
    </row>
    <row r="8" spans="1:15" x14ac:dyDescent="0.3">
      <c r="A8" t="s">
        <v>23</v>
      </c>
      <c r="B8" t="s">
        <v>24</v>
      </c>
      <c r="C8" t="s">
        <v>22</v>
      </c>
      <c r="D8">
        <v>7552</v>
      </c>
      <c r="E8">
        <v>10</v>
      </c>
      <c r="F8" s="2">
        <v>42886</v>
      </c>
      <c r="G8" s="2">
        <v>41649</v>
      </c>
      <c r="H8" s="6">
        <f t="shared" si="0"/>
        <v>755.2</v>
      </c>
      <c r="I8" s="6">
        <f t="shared" si="1"/>
        <v>8307.2000000000007</v>
      </c>
      <c r="M8" s="7"/>
    </row>
    <row r="9" spans="1:15" x14ac:dyDescent="0.3">
      <c r="A9" t="s">
        <v>25</v>
      </c>
      <c r="B9" t="s">
        <v>26</v>
      </c>
      <c r="C9" t="s">
        <v>22</v>
      </c>
      <c r="D9">
        <v>4674</v>
      </c>
      <c r="E9">
        <v>5</v>
      </c>
      <c r="F9" s="2">
        <v>43561</v>
      </c>
      <c r="G9" s="2">
        <v>36187</v>
      </c>
      <c r="H9" s="6">
        <f t="shared" si="0"/>
        <v>233.7</v>
      </c>
      <c r="I9" s="6">
        <f t="shared" si="1"/>
        <v>4907.7</v>
      </c>
    </row>
    <row r="10" spans="1:15" x14ac:dyDescent="0.3">
      <c r="A10" t="s">
        <v>27</v>
      </c>
      <c r="B10" t="s">
        <v>28</v>
      </c>
      <c r="C10" t="s">
        <v>22</v>
      </c>
      <c r="D10">
        <v>8635</v>
      </c>
      <c r="E10">
        <v>15</v>
      </c>
      <c r="F10" s="2">
        <v>45310</v>
      </c>
      <c r="G10" s="2">
        <v>35750</v>
      </c>
      <c r="H10" s="6">
        <f t="shared" si="0"/>
        <v>1295.25</v>
      </c>
      <c r="I10" s="6">
        <f t="shared" si="1"/>
        <v>9930.25</v>
      </c>
    </row>
    <row r="11" spans="1:15" x14ac:dyDescent="0.3">
      <c r="A11" t="s">
        <v>29</v>
      </c>
      <c r="B11" t="s">
        <v>30</v>
      </c>
      <c r="C11" t="s">
        <v>31</v>
      </c>
      <c r="D11">
        <v>11785</v>
      </c>
      <c r="E11">
        <v>5</v>
      </c>
      <c r="F11" s="2">
        <v>43555</v>
      </c>
      <c r="G11" s="2">
        <v>36040</v>
      </c>
      <c r="H11" s="6">
        <f t="shared" si="0"/>
        <v>589.25</v>
      </c>
      <c r="I11" s="6">
        <f t="shared" si="1"/>
        <v>12374.25</v>
      </c>
    </row>
    <row r="12" spans="1:15" x14ac:dyDescent="0.3">
      <c r="A12" t="s">
        <v>32</v>
      </c>
      <c r="B12" t="s">
        <v>33</v>
      </c>
      <c r="C12" t="s">
        <v>17</v>
      </c>
      <c r="D12">
        <v>7803</v>
      </c>
      <c r="E12">
        <v>15</v>
      </c>
      <c r="F12" s="2">
        <v>44369</v>
      </c>
      <c r="G12" s="2">
        <v>36970</v>
      </c>
      <c r="H12" s="6">
        <f t="shared" si="0"/>
        <v>1170.45</v>
      </c>
      <c r="I12" s="6">
        <f t="shared" si="1"/>
        <v>8973.4500000000007</v>
      </c>
    </row>
    <row r="13" spans="1:15" x14ac:dyDescent="0.3">
      <c r="A13" t="s">
        <v>34</v>
      </c>
      <c r="B13" t="s">
        <v>35</v>
      </c>
      <c r="C13" t="s">
        <v>9</v>
      </c>
      <c r="D13">
        <v>3750</v>
      </c>
      <c r="E13">
        <v>10</v>
      </c>
      <c r="F13" s="2">
        <v>45171</v>
      </c>
      <c r="G13" s="2">
        <v>37765</v>
      </c>
      <c r="H13" s="6">
        <f t="shared" si="0"/>
        <v>375</v>
      </c>
      <c r="I13" s="6">
        <f t="shared" si="1"/>
        <v>4125</v>
      </c>
    </row>
    <row r="14" spans="1:15" x14ac:dyDescent="0.3">
      <c r="A14" t="s">
        <v>36</v>
      </c>
      <c r="B14" t="s">
        <v>37</v>
      </c>
      <c r="C14" t="s">
        <v>9</v>
      </c>
      <c r="D14">
        <v>6814</v>
      </c>
      <c r="E14">
        <v>5</v>
      </c>
      <c r="F14" s="2">
        <v>43561</v>
      </c>
      <c r="G14" s="2">
        <v>37672</v>
      </c>
      <c r="H14" s="6">
        <f t="shared" si="0"/>
        <v>340.7</v>
      </c>
      <c r="I14" s="6">
        <f t="shared" si="1"/>
        <v>7154.7</v>
      </c>
    </row>
    <row r="15" spans="1:15" x14ac:dyDescent="0.3">
      <c r="A15" t="s">
        <v>38</v>
      </c>
      <c r="B15" t="s">
        <v>39</v>
      </c>
      <c r="C15" t="s">
        <v>31</v>
      </c>
      <c r="D15">
        <v>13415</v>
      </c>
      <c r="E15">
        <v>15</v>
      </c>
      <c r="F15" s="2">
        <v>42671</v>
      </c>
      <c r="G15" s="2">
        <v>38427</v>
      </c>
      <c r="H15" s="6">
        <f t="shared" si="0"/>
        <v>2012.25</v>
      </c>
      <c r="I15" s="6">
        <f t="shared" si="1"/>
        <v>15427.25</v>
      </c>
    </row>
    <row r="16" spans="1:15" x14ac:dyDescent="0.3">
      <c r="A16" t="s">
        <v>40</v>
      </c>
      <c r="B16" t="s">
        <v>41</v>
      </c>
      <c r="C16" t="s">
        <v>22</v>
      </c>
      <c r="D16">
        <v>6432</v>
      </c>
      <c r="E16">
        <v>15</v>
      </c>
      <c r="F16" s="2">
        <v>44879</v>
      </c>
      <c r="G16" s="2">
        <v>40994</v>
      </c>
      <c r="H16" s="6">
        <f t="shared" si="0"/>
        <v>964.8</v>
      </c>
      <c r="I16" s="6">
        <f t="shared" si="1"/>
        <v>7396.8</v>
      </c>
    </row>
    <row r="17" spans="1:9" x14ac:dyDescent="0.3">
      <c r="A17" t="s">
        <v>42</v>
      </c>
      <c r="B17" t="s">
        <v>43</v>
      </c>
      <c r="C17" t="s">
        <v>9</v>
      </c>
      <c r="D17">
        <v>12980</v>
      </c>
      <c r="E17">
        <v>10</v>
      </c>
      <c r="F17" s="2">
        <v>44192</v>
      </c>
      <c r="G17" s="2">
        <v>41368</v>
      </c>
      <c r="H17" s="6">
        <f t="shared" si="0"/>
        <v>1298</v>
      </c>
      <c r="I17" s="6">
        <f t="shared" si="1"/>
        <v>14278</v>
      </c>
    </row>
    <row r="18" spans="1:9" x14ac:dyDescent="0.3">
      <c r="A18" t="s">
        <v>44</v>
      </c>
      <c r="B18" t="s">
        <v>45</v>
      </c>
      <c r="C18" t="s">
        <v>12</v>
      </c>
      <c r="D18">
        <v>5677</v>
      </c>
      <c r="E18">
        <v>20</v>
      </c>
      <c r="F18" s="2">
        <v>43559</v>
      </c>
      <c r="G18" s="2">
        <v>37606</v>
      </c>
      <c r="H18" s="6">
        <f t="shared" si="0"/>
        <v>1135.4000000000001</v>
      </c>
      <c r="I18" s="6">
        <f t="shared" si="1"/>
        <v>6812.4</v>
      </c>
    </row>
    <row r="19" spans="1:9" x14ac:dyDescent="0.3">
      <c r="A19" t="s">
        <v>46</v>
      </c>
      <c r="B19" t="s">
        <v>47</v>
      </c>
      <c r="C19" t="s">
        <v>17</v>
      </c>
      <c r="D19">
        <v>6598</v>
      </c>
      <c r="E19">
        <v>15</v>
      </c>
      <c r="F19" s="2">
        <v>45457</v>
      </c>
      <c r="G19" s="2">
        <v>41689</v>
      </c>
      <c r="H19" s="6">
        <f t="shared" si="0"/>
        <v>989.7</v>
      </c>
      <c r="I19" s="6">
        <f t="shared" si="1"/>
        <v>7587.7</v>
      </c>
    </row>
    <row r="20" spans="1:9" x14ac:dyDescent="0.3">
      <c r="A20" t="s">
        <v>48</v>
      </c>
      <c r="B20" t="s">
        <v>49</v>
      </c>
      <c r="C20" t="s">
        <v>9</v>
      </c>
      <c r="D20">
        <v>6752</v>
      </c>
      <c r="E20">
        <v>5</v>
      </c>
      <c r="F20" s="2">
        <v>45302</v>
      </c>
      <c r="G20" s="2">
        <v>37979</v>
      </c>
      <c r="H20" s="6">
        <f t="shared" si="0"/>
        <v>337.6</v>
      </c>
      <c r="I20" s="6">
        <f t="shared" si="1"/>
        <v>7089.6</v>
      </c>
    </row>
    <row r="21" spans="1:9" x14ac:dyDescent="0.3">
      <c r="A21" t="s">
        <v>50</v>
      </c>
      <c r="B21" t="s">
        <v>51</v>
      </c>
      <c r="C21" t="s">
        <v>31</v>
      </c>
      <c r="D21">
        <v>7386</v>
      </c>
      <c r="E21">
        <v>5</v>
      </c>
      <c r="F21" s="2">
        <v>42869</v>
      </c>
      <c r="G21" s="2">
        <v>40041</v>
      </c>
      <c r="H21" s="6">
        <f t="shared" si="0"/>
        <v>369.3</v>
      </c>
      <c r="I21" s="6">
        <f t="shared" si="1"/>
        <v>7755.3</v>
      </c>
    </row>
    <row r="22" spans="1:9" x14ac:dyDescent="0.3">
      <c r="A22" t="s">
        <v>52</v>
      </c>
      <c r="B22" t="s">
        <v>53</v>
      </c>
      <c r="C22" t="s">
        <v>22</v>
      </c>
      <c r="D22">
        <v>6483</v>
      </c>
      <c r="E22">
        <v>20</v>
      </c>
      <c r="F22" s="2">
        <v>43625</v>
      </c>
      <c r="G22" s="2">
        <v>40661</v>
      </c>
      <c r="H22" s="6">
        <f t="shared" si="0"/>
        <v>1296.5999999999999</v>
      </c>
      <c r="I22" s="6">
        <f t="shared" si="1"/>
        <v>7779.6</v>
      </c>
    </row>
    <row r="23" spans="1:9" x14ac:dyDescent="0.3">
      <c r="A23" t="s">
        <v>54</v>
      </c>
      <c r="B23" t="s">
        <v>55</v>
      </c>
      <c r="C23" t="s">
        <v>31</v>
      </c>
      <c r="D23">
        <v>5340</v>
      </c>
      <c r="E23">
        <v>15</v>
      </c>
      <c r="F23" s="2">
        <v>42576</v>
      </c>
      <c r="G23" s="2">
        <v>37415</v>
      </c>
      <c r="H23" s="6">
        <f t="shared" si="0"/>
        <v>801</v>
      </c>
      <c r="I23" s="6">
        <f t="shared" si="1"/>
        <v>6141</v>
      </c>
    </row>
    <row r="24" spans="1:9" x14ac:dyDescent="0.3">
      <c r="A24" t="s">
        <v>56</v>
      </c>
      <c r="B24" t="s">
        <v>57</v>
      </c>
      <c r="C24" t="s">
        <v>17</v>
      </c>
      <c r="D24">
        <v>11830</v>
      </c>
      <c r="E24">
        <v>15</v>
      </c>
      <c r="F24" s="2">
        <v>45064</v>
      </c>
      <c r="G24" s="2">
        <v>40183</v>
      </c>
      <c r="H24" s="6">
        <f t="shared" si="0"/>
        <v>1774.5</v>
      </c>
      <c r="I24" s="6">
        <f t="shared" si="1"/>
        <v>13604.5</v>
      </c>
    </row>
    <row r="25" spans="1:9" x14ac:dyDescent="0.3">
      <c r="A25" t="s">
        <v>58</v>
      </c>
      <c r="B25" t="s">
        <v>59</v>
      </c>
      <c r="C25" t="s">
        <v>31</v>
      </c>
      <c r="D25">
        <v>12560</v>
      </c>
      <c r="E25">
        <v>20</v>
      </c>
      <c r="F25" s="2">
        <v>43487</v>
      </c>
      <c r="G25" s="2">
        <v>37191</v>
      </c>
      <c r="H25" s="6">
        <f t="shared" si="0"/>
        <v>2512</v>
      </c>
      <c r="I25" s="6">
        <f t="shared" si="1"/>
        <v>15072</v>
      </c>
    </row>
    <row r="26" spans="1:9" x14ac:dyDescent="0.3">
      <c r="A26" t="s">
        <v>60</v>
      </c>
      <c r="B26" t="s">
        <v>61</v>
      </c>
      <c r="C26" t="s">
        <v>12</v>
      </c>
      <c r="D26">
        <v>11348</v>
      </c>
      <c r="E26">
        <v>20</v>
      </c>
      <c r="F26" s="2">
        <v>42377</v>
      </c>
      <c r="G26" s="2">
        <v>41586</v>
      </c>
      <c r="H26" s="6">
        <f t="shared" si="0"/>
        <v>2269.6</v>
      </c>
      <c r="I26" s="6">
        <f t="shared" si="1"/>
        <v>13617.6</v>
      </c>
    </row>
    <row r="27" spans="1:9" x14ac:dyDescent="0.3">
      <c r="A27" t="s">
        <v>62</v>
      </c>
      <c r="B27" t="s">
        <v>63</v>
      </c>
      <c r="C27" t="s">
        <v>9</v>
      </c>
      <c r="D27">
        <v>4796</v>
      </c>
      <c r="E27">
        <v>10</v>
      </c>
      <c r="F27" s="2">
        <v>44575</v>
      </c>
      <c r="G27" s="2">
        <v>36705</v>
      </c>
      <c r="H27" s="6">
        <f t="shared" si="0"/>
        <v>479.6</v>
      </c>
      <c r="I27" s="6">
        <f t="shared" si="1"/>
        <v>5275.6</v>
      </c>
    </row>
    <row r="28" spans="1:9" x14ac:dyDescent="0.3">
      <c r="A28" t="s">
        <v>64</v>
      </c>
      <c r="B28" t="s">
        <v>65</v>
      </c>
      <c r="C28" t="s">
        <v>31</v>
      </c>
      <c r="D28">
        <v>12771</v>
      </c>
      <c r="E28">
        <v>5</v>
      </c>
      <c r="F28" s="2">
        <v>43581</v>
      </c>
      <c r="G28" s="2">
        <v>38521</v>
      </c>
      <c r="H28" s="6">
        <f t="shared" si="0"/>
        <v>638.54999999999995</v>
      </c>
      <c r="I28" s="6">
        <f t="shared" si="1"/>
        <v>13409.55</v>
      </c>
    </row>
    <row r="29" spans="1:9" x14ac:dyDescent="0.3">
      <c r="A29" t="s">
        <v>66</v>
      </c>
      <c r="B29" t="s">
        <v>67</v>
      </c>
      <c r="C29" t="s">
        <v>17</v>
      </c>
      <c r="D29">
        <v>10668</v>
      </c>
      <c r="E29">
        <v>15</v>
      </c>
      <c r="F29" s="2">
        <v>44271</v>
      </c>
      <c r="G29" s="2">
        <v>35489</v>
      </c>
      <c r="H29" s="6">
        <f t="shared" si="0"/>
        <v>1600.2</v>
      </c>
      <c r="I29" s="6">
        <f t="shared" si="1"/>
        <v>12268.2</v>
      </c>
    </row>
    <row r="30" spans="1:9" x14ac:dyDescent="0.3">
      <c r="A30" t="s">
        <v>68</v>
      </c>
      <c r="B30" t="s">
        <v>69</v>
      </c>
      <c r="C30" t="s">
        <v>9</v>
      </c>
      <c r="D30">
        <v>14169</v>
      </c>
      <c r="E30">
        <v>15</v>
      </c>
      <c r="F30" s="2">
        <v>45153</v>
      </c>
      <c r="G30" s="2">
        <v>40645</v>
      </c>
      <c r="H30" s="6">
        <f t="shared" si="0"/>
        <v>2125.35</v>
      </c>
      <c r="I30" s="6">
        <f t="shared" si="1"/>
        <v>16294.35</v>
      </c>
    </row>
    <row r="31" spans="1:9" x14ac:dyDescent="0.3">
      <c r="A31" t="s">
        <v>70</v>
      </c>
      <c r="B31" t="s">
        <v>71</v>
      </c>
      <c r="C31" t="s">
        <v>22</v>
      </c>
      <c r="D31">
        <v>4827</v>
      </c>
      <c r="E31">
        <v>15</v>
      </c>
      <c r="F31" s="2">
        <v>43785</v>
      </c>
      <c r="G31" s="2">
        <v>36690</v>
      </c>
      <c r="H31" s="6">
        <f t="shared" si="0"/>
        <v>724.05</v>
      </c>
      <c r="I31" s="6">
        <f t="shared" si="1"/>
        <v>5551.05</v>
      </c>
    </row>
    <row r="32" spans="1:9" x14ac:dyDescent="0.3">
      <c r="A32" t="s">
        <v>72</v>
      </c>
      <c r="B32" t="s">
        <v>73</v>
      </c>
      <c r="C32" t="s">
        <v>31</v>
      </c>
      <c r="D32">
        <v>3053</v>
      </c>
      <c r="E32">
        <v>15</v>
      </c>
      <c r="F32" s="2">
        <v>44055</v>
      </c>
      <c r="G32" s="2">
        <v>41636</v>
      </c>
      <c r="H32" s="6">
        <f t="shared" si="0"/>
        <v>457.95</v>
      </c>
      <c r="I32" s="6">
        <f t="shared" si="1"/>
        <v>3510.95</v>
      </c>
    </row>
    <row r="33" spans="1:9" x14ac:dyDescent="0.3">
      <c r="A33" t="s">
        <v>74</v>
      </c>
      <c r="B33" t="s">
        <v>75</v>
      </c>
      <c r="C33" t="s">
        <v>12</v>
      </c>
      <c r="D33">
        <v>11317</v>
      </c>
      <c r="E33">
        <v>5</v>
      </c>
      <c r="F33" s="2">
        <v>45570</v>
      </c>
      <c r="G33" s="2">
        <v>40517</v>
      </c>
      <c r="H33" s="6">
        <f t="shared" si="0"/>
        <v>565.85</v>
      </c>
      <c r="I33" s="6">
        <f t="shared" si="1"/>
        <v>11882.85</v>
      </c>
    </row>
    <row r="34" spans="1:9" x14ac:dyDescent="0.3">
      <c r="A34" t="s">
        <v>76</v>
      </c>
      <c r="B34" t="s">
        <v>77</v>
      </c>
      <c r="C34" t="s">
        <v>22</v>
      </c>
      <c r="D34">
        <v>13468</v>
      </c>
      <c r="E34">
        <v>10</v>
      </c>
      <c r="F34" s="2">
        <v>42631</v>
      </c>
      <c r="G34" s="2">
        <v>38458</v>
      </c>
      <c r="H34" s="6">
        <f t="shared" si="0"/>
        <v>1346.8</v>
      </c>
      <c r="I34" s="6">
        <f t="shared" si="1"/>
        <v>14814.8</v>
      </c>
    </row>
    <row r="35" spans="1:9" x14ac:dyDescent="0.3">
      <c r="A35" t="s">
        <v>78</v>
      </c>
      <c r="B35" t="s">
        <v>79</v>
      </c>
      <c r="C35" t="s">
        <v>12</v>
      </c>
      <c r="D35">
        <v>11837</v>
      </c>
      <c r="E35">
        <v>5</v>
      </c>
      <c r="F35" s="2">
        <v>44458</v>
      </c>
      <c r="G35" s="2">
        <v>38050</v>
      </c>
      <c r="H35" s="6">
        <f t="shared" si="0"/>
        <v>591.85</v>
      </c>
      <c r="I35" s="6">
        <f t="shared" si="1"/>
        <v>12428.85</v>
      </c>
    </row>
    <row r="36" spans="1:9" x14ac:dyDescent="0.3">
      <c r="A36" t="s">
        <v>80</v>
      </c>
      <c r="B36" t="s">
        <v>81</v>
      </c>
      <c r="C36" t="s">
        <v>31</v>
      </c>
      <c r="D36">
        <v>3319</v>
      </c>
      <c r="E36">
        <v>5</v>
      </c>
      <c r="F36" s="2">
        <v>43491</v>
      </c>
      <c r="G36" s="2">
        <v>42208</v>
      </c>
      <c r="H36" s="6">
        <f t="shared" si="0"/>
        <v>165.95</v>
      </c>
      <c r="I36" s="6">
        <f t="shared" si="1"/>
        <v>3484.95</v>
      </c>
    </row>
    <row r="37" spans="1:9" x14ac:dyDescent="0.3">
      <c r="A37" t="s">
        <v>82</v>
      </c>
      <c r="B37" t="s">
        <v>83</v>
      </c>
      <c r="C37" t="s">
        <v>22</v>
      </c>
      <c r="D37">
        <v>6923</v>
      </c>
      <c r="E37">
        <v>5</v>
      </c>
      <c r="F37" s="2">
        <v>42991</v>
      </c>
      <c r="G37" s="2">
        <v>40042</v>
      </c>
      <c r="H37" s="6">
        <f t="shared" si="0"/>
        <v>346.15</v>
      </c>
      <c r="I37" s="6">
        <f t="shared" si="1"/>
        <v>7269.15</v>
      </c>
    </row>
    <row r="38" spans="1:9" x14ac:dyDescent="0.3">
      <c r="A38" t="s">
        <v>84</v>
      </c>
      <c r="B38" t="s">
        <v>85</v>
      </c>
      <c r="C38" t="s">
        <v>9</v>
      </c>
      <c r="D38">
        <v>4403</v>
      </c>
      <c r="E38">
        <v>20</v>
      </c>
      <c r="F38" s="2">
        <v>45347</v>
      </c>
      <c r="G38" s="2">
        <v>35961</v>
      </c>
      <c r="H38" s="6">
        <f t="shared" si="0"/>
        <v>880.6</v>
      </c>
      <c r="I38" s="6">
        <f t="shared" si="1"/>
        <v>5283.6</v>
      </c>
    </row>
    <row r="39" spans="1:9" x14ac:dyDescent="0.3">
      <c r="A39" t="s">
        <v>86</v>
      </c>
      <c r="B39" t="s">
        <v>87</v>
      </c>
      <c r="C39" t="s">
        <v>17</v>
      </c>
      <c r="D39">
        <v>5060</v>
      </c>
      <c r="E39">
        <v>10</v>
      </c>
      <c r="F39" s="2">
        <v>44707</v>
      </c>
      <c r="G39" s="2">
        <v>39288</v>
      </c>
      <c r="H39" s="6">
        <f t="shared" si="0"/>
        <v>506</v>
      </c>
      <c r="I39" s="6">
        <f t="shared" si="1"/>
        <v>5566</v>
      </c>
    </row>
    <row r="40" spans="1:9" x14ac:dyDescent="0.3">
      <c r="A40" t="s">
        <v>88</v>
      </c>
      <c r="B40" t="s">
        <v>89</v>
      </c>
      <c r="C40" t="s">
        <v>17</v>
      </c>
      <c r="D40">
        <v>5705</v>
      </c>
      <c r="E40">
        <v>15</v>
      </c>
      <c r="F40" s="2">
        <v>44166</v>
      </c>
      <c r="G40" s="2">
        <v>40364</v>
      </c>
      <c r="H40" s="6">
        <f t="shared" si="0"/>
        <v>855.75</v>
      </c>
      <c r="I40" s="6">
        <f t="shared" si="1"/>
        <v>6560.75</v>
      </c>
    </row>
    <row r="41" spans="1:9" x14ac:dyDescent="0.3">
      <c r="A41" t="s">
        <v>90</v>
      </c>
      <c r="B41" t="s">
        <v>91</v>
      </c>
      <c r="C41" t="s">
        <v>31</v>
      </c>
      <c r="D41">
        <v>6470</v>
      </c>
      <c r="E41">
        <v>10</v>
      </c>
      <c r="F41" s="2">
        <v>44925</v>
      </c>
      <c r="G41" s="2">
        <v>37948</v>
      </c>
      <c r="H41" s="6">
        <f t="shared" si="0"/>
        <v>647</v>
      </c>
      <c r="I41" s="6">
        <f t="shared" si="1"/>
        <v>7117</v>
      </c>
    </row>
    <row r="42" spans="1:9" x14ac:dyDescent="0.3">
      <c r="A42" t="s">
        <v>92</v>
      </c>
      <c r="B42" t="s">
        <v>93</v>
      </c>
      <c r="C42" t="s">
        <v>31</v>
      </c>
      <c r="D42">
        <v>14004</v>
      </c>
      <c r="E42">
        <v>15</v>
      </c>
      <c r="F42" s="2">
        <v>43799</v>
      </c>
      <c r="G42" s="2">
        <v>39634</v>
      </c>
      <c r="H42" s="6">
        <f t="shared" si="0"/>
        <v>2100.6</v>
      </c>
      <c r="I42" s="6">
        <f t="shared" si="1"/>
        <v>16104.6</v>
      </c>
    </row>
    <row r="43" spans="1:9" x14ac:dyDescent="0.3">
      <c r="A43" t="s">
        <v>94</v>
      </c>
      <c r="B43" t="s">
        <v>95</v>
      </c>
      <c r="C43" t="s">
        <v>31</v>
      </c>
      <c r="D43">
        <v>4982</v>
      </c>
      <c r="E43">
        <v>10</v>
      </c>
      <c r="F43" s="2">
        <v>42925</v>
      </c>
      <c r="G43" s="2">
        <v>35919</v>
      </c>
      <c r="H43" s="6">
        <f t="shared" si="0"/>
        <v>498.2</v>
      </c>
      <c r="I43" s="6">
        <f t="shared" si="1"/>
        <v>5480.2</v>
      </c>
    </row>
    <row r="44" spans="1:9" x14ac:dyDescent="0.3">
      <c r="A44" t="s">
        <v>96</v>
      </c>
      <c r="B44" t="s">
        <v>97</v>
      </c>
      <c r="C44" t="s">
        <v>22</v>
      </c>
      <c r="D44">
        <v>3344</v>
      </c>
      <c r="E44">
        <v>10</v>
      </c>
      <c r="F44" s="2">
        <v>44415</v>
      </c>
      <c r="G44" s="2">
        <v>37199</v>
      </c>
      <c r="H44" s="6">
        <f t="shared" si="0"/>
        <v>334.4</v>
      </c>
      <c r="I44" s="6">
        <f t="shared" si="1"/>
        <v>3678.4</v>
      </c>
    </row>
    <row r="45" spans="1:9" x14ac:dyDescent="0.3">
      <c r="A45" t="s">
        <v>98</v>
      </c>
      <c r="B45" t="s">
        <v>99</v>
      </c>
      <c r="C45" t="s">
        <v>9</v>
      </c>
      <c r="D45">
        <v>4163</v>
      </c>
      <c r="E45">
        <v>5</v>
      </c>
      <c r="F45" s="2">
        <v>42942</v>
      </c>
      <c r="G45" s="2">
        <v>35947</v>
      </c>
      <c r="H45" s="6">
        <f t="shared" si="0"/>
        <v>208.15</v>
      </c>
      <c r="I45" s="6">
        <f t="shared" si="1"/>
        <v>4371.1499999999996</v>
      </c>
    </row>
    <row r="46" spans="1:9" x14ac:dyDescent="0.3">
      <c r="A46" t="s">
        <v>100</v>
      </c>
      <c r="B46" t="s">
        <v>101</v>
      </c>
      <c r="C46" t="s">
        <v>9</v>
      </c>
      <c r="D46">
        <v>8413</v>
      </c>
      <c r="E46">
        <v>5</v>
      </c>
      <c r="F46" s="2">
        <v>44110</v>
      </c>
      <c r="G46" s="2">
        <v>37344</v>
      </c>
      <c r="H46" s="6">
        <f t="shared" si="0"/>
        <v>420.65</v>
      </c>
      <c r="I46" s="6">
        <f t="shared" si="1"/>
        <v>8833.65</v>
      </c>
    </row>
    <row r="47" spans="1:9" x14ac:dyDescent="0.3">
      <c r="A47" t="s">
        <v>102</v>
      </c>
      <c r="B47" t="s">
        <v>103</v>
      </c>
      <c r="C47" t="s">
        <v>22</v>
      </c>
      <c r="D47">
        <v>13960</v>
      </c>
      <c r="E47">
        <v>20</v>
      </c>
      <c r="F47" s="2">
        <v>42882</v>
      </c>
      <c r="G47" s="2">
        <v>39812</v>
      </c>
      <c r="H47" s="6">
        <f t="shared" si="0"/>
        <v>2792</v>
      </c>
      <c r="I47" s="6">
        <f t="shared" si="1"/>
        <v>16752</v>
      </c>
    </row>
    <row r="48" spans="1:9" x14ac:dyDescent="0.3">
      <c r="A48" t="s">
        <v>104</v>
      </c>
      <c r="B48" t="s">
        <v>105</v>
      </c>
      <c r="C48" t="s">
        <v>12</v>
      </c>
      <c r="D48">
        <v>14851</v>
      </c>
      <c r="E48">
        <v>20</v>
      </c>
      <c r="F48" s="2">
        <v>43000</v>
      </c>
      <c r="G48" s="2">
        <v>41822</v>
      </c>
      <c r="H48" s="6">
        <f t="shared" si="0"/>
        <v>2970.2</v>
      </c>
      <c r="I48" s="6">
        <f t="shared" si="1"/>
        <v>17821.2</v>
      </c>
    </row>
    <row r="49" spans="1:9" x14ac:dyDescent="0.3">
      <c r="A49" t="s">
        <v>106</v>
      </c>
      <c r="B49" t="s">
        <v>107</v>
      </c>
      <c r="C49" t="s">
        <v>31</v>
      </c>
      <c r="D49">
        <v>9669</v>
      </c>
      <c r="E49">
        <v>10</v>
      </c>
      <c r="F49" s="2">
        <v>42391</v>
      </c>
      <c r="G49" s="2">
        <v>36189</v>
      </c>
      <c r="H49" s="6">
        <f t="shared" si="0"/>
        <v>966.9</v>
      </c>
      <c r="I49" s="6">
        <f t="shared" si="1"/>
        <v>10635.9</v>
      </c>
    </row>
    <row r="50" spans="1:9" x14ac:dyDescent="0.3">
      <c r="A50" t="s">
        <v>108</v>
      </c>
      <c r="B50" t="s">
        <v>109</v>
      </c>
      <c r="C50" t="s">
        <v>31</v>
      </c>
      <c r="D50">
        <v>8804</v>
      </c>
      <c r="E50">
        <v>20</v>
      </c>
      <c r="F50" s="2">
        <v>43688</v>
      </c>
      <c r="G50" s="2">
        <v>39220</v>
      </c>
      <c r="H50" s="6">
        <f t="shared" si="0"/>
        <v>1760.8</v>
      </c>
      <c r="I50" s="6">
        <f t="shared" si="1"/>
        <v>10564.8</v>
      </c>
    </row>
    <row r="51" spans="1:9" x14ac:dyDescent="0.3">
      <c r="A51" t="s">
        <v>110</v>
      </c>
      <c r="B51" t="s">
        <v>111</v>
      </c>
      <c r="C51" t="s">
        <v>9</v>
      </c>
      <c r="D51">
        <v>14032</v>
      </c>
      <c r="E51">
        <v>5</v>
      </c>
      <c r="F51" s="2">
        <v>42253</v>
      </c>
      <c r="G51" s="2">
        <v>38693</v>
      </c>
      <c r="H51" s="6">
        <f t="shared" si="0"/>
        <v>701.6</v>
      </c>
      <c r="I51" s="6">
        <f t="shared" si="1"/>
        <v>14733.6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selection sqref="A1:G6"/>
    </sheetView>
  </sheetViews>
  <sheetFormatPr defaultRowHeight="14.4" x14ac:dyDescent="0.3"/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124</v>
      </c>
      <c r="E1" s="10" t="s">
        <v>125</v>
      </c>
      <c r="F1" s="10" t="s">
        <v>126</v>
      </c>
      <c r="G1" s="10" t="s">
        <v>127</v>
      </c>
      <c r="H1" s="10" t="s">
        <v>128</v>
      </c>
      <c r="I1" s="10" t="s">
        <v>5</v>
      </c>
    </row>
    <row r="2" spans="1:9" x14ac:dyDescent="0.3">
      <c r="A2" t="s">
        <v>7</v>
      </c>
      <c r="B2" t="s">
        <v>129</v>
      </c>
      <c r="C2" t="s">
        <v>9</v>
      </c>
      <c r="D2" t="s">
        <v>130</v>
      </c>
      <c r="E2">
        <v>160</v>
      </c>
      <c r="F2">
        <v>25</v>
      </c>
      <c r="G2">
        <v>4000</v>
      </c>
      <c r="H2" t="s">
        <v>131</v>
      </c>
      <c r="I2">
        <f>E2*F2</f>
        <v>4000</v>
      </c>
    </row>
    <row r="3" spans="1:9" x14ac:dyDescent="0.3">
      <c r="A3" t="s">
        <v>10</v>
      </c>
      <c r="B3" t="s">
        <v>132</v>
      </c>
      <c r="C3" t="s">
        <v>22</v>
      </c>
      <c r="D3" t="s">
        <v>133</v>
      </c>
      <c r="E3">
        <v>180</v>
      </c>
      <c r="F3">
        <v>30</v>
      </c>
      <c r="G3">
        <v>5400</v>
      </c>
      <c r="H3" t="s">
        <v>134</v>
      </c>
      <c r="I3">
        <f>E3*F3</f>
        <v>5400</v>
      </c>
    </row>
    <row r="4" spans="1:9" x14ac:dyDescent="0.3">
      <c r="A4" t="s">
        <v>13</v>
      </c>
      <c r="B4" t="s">
        <v>135</v>
      </c>
      <c r="C4" t="s">
        <v>12</v>
      </c>
      <c r="D4" t="s">
        <v>136</v>
      </c>
      <c r="E4">
        <v>150</v>
      </c>
      <c r="F4">
        <v>28</v>
      </c>
      <c r="G4">
        <v>4200</v>
      </c>
      <c r="H4" t="s">
        <v>137</v>
      </c>
      <c r="I4">
        <f>E4*F4</f>
        <v>4200</v>
      </c>
    </row>
    <row r="5" spans="1:9" x14ac:dyDescent="0.3">
      <c r="A5" t="s">
        <v>15</v>
      </c>
      <c r="B5" t="s">
        <v>138</v>
      </c>
      <c r="C5" t="s">
        <v>22</v>
      </c>
      <c r="D5" t="s">
        <v>139</v>
      </c>
      <c r="E5">
        <v>170</v>
      </c>
      <c r="F5">
        <v>35</v>
      </c>
      <c r="G5">
        <v>5950</v>
      </c>
      <c r="H5" t="s">
        <v>131</v>
      </c>
      <c r="I5">
        <f>E5*F5</f>
        <v>5950</v>
      </c>
    </row>
    <row r="6" spans="1:9" x14ac:dyDescent="0.3">
      <c r="A6" t="s">
        <v>18</v>
      </c>
      <c r="B6" t="s">
        <v>140</v>
      </c>
      <c r="C6" t="s">
        <v>141</v>
      </c>
      <c r="D6" t="s">
        <v>142</v>
      </c>
      <c r="E6">
        <v>155</v>
      </c>
      <c r="F6">
        <v>22</v>
      </c>
      <c r="G6">
        <v>3410</v>
      </c>
      <c r="H6" t="s">
        <v>134</v>
      </c>
      <c r="I6">
        <f>E6*F6</f>
        <v>3410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abSelected="1" workbookViewId="0">
      <selection activeCell="E1" sqref="E1:I8"/>
    </sheetView>
  </sheetViews>
  <sheetFormatPr defaultRowHeight="14.4" x14ac:dyDescent="0.3"/>
  <cols>
    <col min="1" max="1" width="14.21875" bestFit="1" customWidth="1"/>
    <col min="2" max="2" width="10.77734375" bestFit="1" customWidth="1"/>
    <col min="3" max="3" width="40.5546875" bestFit="1" customWidth="1"/>
    <col min="6" max="6" width="12" customWidth="1"/>
    <col min="7" max="7" width="11.21875" bestFit="1" customWidth="1"/>
  </cols>
  <sheetData>
    <row r="1" spans="1:9" x14ac:dyDescent="0.3">
      <c r="A1" t="s">
        <v>143</v>
      </c>
      <c r="B1" t="s">
        <v>144</v>
      </c>
      <c r="C1" t="s">
        <v>145</v>
      </c>
      <c r="E1" s="10" t="s">
        <v>1</v>
      </c>
      <c r="F1" t="s">
        <v>158</v>
      </c>
      <c r="G1" t="s">
        <v>121</v>
      </c>
      <c r="H1" t="s">
        <v>124</v>
      </c>
      <c r="I1" t="s">
        <v>159</v>
      </c>
    </row>
    <row r="2" spans="1:9" x14ac:dyDescent="0.3">
      <c r="A2" t="s">
        <v>146</v>
      </c>
      <c r="B2">
        <f>VLOOKUP("Nisa",Day1_Practice!B2:H6,5,FALSE)</f>
        <v>28</v>
      </c>
      <c r="C2" t="s">
        <v>147</v>
      </c>
      <c r="E2" t="s">
        <v>129</v>
      </c>
      <c r="F2">
        <f>VLOOKUP(E2,Day1_Practice!B:F,5,0)</f>
        <v>25</v>
      </c>
      <c r="G2" t="str">
        <f>_xlfn.XLOOKUP(E2,Day1_Practice!B2:B6,Day1_Practice!C2:C6)</f>
        <v>HR</v>
      </c>
      <c r="H2" t="str">
        <f>INDEX(Day1_Practice!D:D,MATCH(Day2_Practice!E2,Day1_Practice!B:B,0))</f>
        <v>HRMS</v>
      </c>
      <c r="I2" t="str">
        <f>IF(Day1_Practice!E2&gt;160,"Overtime","Normal")</f>
        <v>Normal</v>
      </c>
    </row>
    <row r="3" spans="1:9" x14ac:dyDescent="0.3">
      <c r="A3" t="s">
        <v>148</v>
      </c>
      <c r="B3">
        <f>HLOOKUP("Total_Pay",Day1_Practice!A1:H6,4,FALSE)</f>
        <v>4200</v>
      </c>
      <c r="C3" t="s">
        <v>149</v>
      </c>
      <c r="E3" t="s">
        <v>132</v>
      </c>
      <c r="F3">
        <f>VLOOKUP(E3,Day1_Practice!B:F,5,0)</f>
        <v>30</v>
      </c>
      <c r="G3" t="str">
        <f>_xlfn.XLOOKUP(E3,Day1_Practice!B3:B7,Day1_Practice!C3:C7)</f>
        <v>IT</v>
      </c>
      <c r="H3" t="str">
        <f>INDEX(Day1_Practice!D:D,MATCH(Day2_Practice!E3,Day1_Practice!B:B,0))</f>
        <v>ERP</v>
      </c>
      <c r="I3" t="str">
        <f>IF(Day1_Practice!E3&gt;160,"Overtime","Normal")</f>
        <v>Overtime</v>
      </c>
    </row>
    <row r="4" spans="1:9" x14ac:dyDescent="0.3">
      <c r="A4" t="s">
        <v>150</v>
      </c>
      <c r="B4" t="str">
        <f>_xlfn.XLOOKUP("Imran",Day1_Practice!B2:B6,Employee_Data!C2:C6)</f>
        <v>Marketing</v>
      </c>
      <c r="C4" t="s">
        <v>151</v>
      </c>
      <c r="E4" t="s">
        <v>135</v>
      </c>
      <c r="F4">
        <f>VLOOKUP(E4,Day1_Practice!B:F,5,0)</f>
        <v>28</v>
      </c>
      <c r="G4" t="str">
        <f>_xlfn.XLOOKUP(E4,Day1_Practice!B4:B8,Day1_Practice!C4:C8)</f>
        <v>Finance</v>
      </c>
      <c r="H4" t="str">
        <f>INDEX(Day1_Practice!D:D,MATCH(Day2_Practice!E4,Day1_Practice!B:B,0))</f>
        <v>Payroll</v>
      </c>
      <c r="I4" t="str">
        <f>IF(Day1_Practice!E4&gt;160,"Overtime","Normal")</f>
        <v>Normal</v>
      </c>
    </row>
    <row r="5" spans="1:9" x14ac:dyDescent="0.3">
      <c r="A5" t="s">
        <v>152</v>
      </c>
      <c r="B5" t="str">
        <f>INDEX(Day1_Practice!D2:D6,MATCH("Sara",Day1_Practice!B2:B6,0))</f>
        <v>OfficeMgmt</v>
      </c>
      <c r="C5" t="s">
        <v>153</v>
      </c>
      <c r="E5" t="s">
        <v>138</v>
      </c>
      <c r="F5">
        <f>VLOOKUP(E5,Day1_Practice!B:F,5,0)</f>
        <v>35</v>
      </c>
      <c r="G5" t="str">
        <f>_xlfn.XLOOKUP(E5,Day1_Practice!B5:B9,Day1_Practice!C5:C9)</f>
        <v>IT</v>
      </c>
      <c r="H5" t="str">
        <f>INDEX(Day1_Practice!D:D,MATCH(Day2_Practice!E5,Day1_Practice!B:B,0))</f>
        <v>WebApp</v>
      </c>
      <c r="I5" t="str">
        <f>IF(Day1_Practice!E5&gt;160,"Overtime","Normal")</f>
        <v>Overtime</v>
      </c>
    </row>
    <row r="6" spans="1:9" x14ac:dyDescent="0.3">
      <c r="A6" t="s">
        <v>154</v>
      </c>
      <c r="B6">
        <f>SUMIFS(Day1_Practice!G2:G6,Day1_Practice!H2:H6,"Dubai")</f>
        <v>9950</v>
      </c>
      <c r="C6" t="s">
        <v>155</v>
      </c>
      <c r="E6" t="s">
        <v>140</v>
      </c>
      <c r="F6">
        <f>VLOOKUP(E6,Day1_Practice!B:F,5,0)</f>
        <v>22</v>
      </c>
      <c r="G6" t="str">
        <f>_xlfn.XLOOKUP(E6,Day1_Practice!B6:B10,Day1_Practice!C6:C10)</f>
        <v>Admin</v>
      </c>
      <c r="H6" t="str">
        <f>INDEX(Day1_Practice!D:D,MATCH(Day2_Practice!E6,Day1_Practice!B:B,0))</f>
        <v>OfficeMgmt</v>
      </c>
      <c r="I6" t="str">
        <f>IF(Day1_Practice!E6&gt;160,"Overtime","Normal")</f>
        <v>Normal</v>
      </c>
    </row>
    <row r="7" spans="1:9" x14ac:dyDescent="0.3">
      <c r="A7" t="s">
        <v>156</v>
      </c>
      <c r="B7" t="str">
        <f>IF(Day1_Practice!E2&gt;160,"Overtime","Normal")</f>
        <v>Normal</v>
      </c>
      <c r="C7" t="s">
        <v>157</v>
      </c>
    </row>
    <row r="8" spans="1:9" x14ac:dyDescent="0.3">
      <c r="E8" t="s">
        <v>155</v>
      </c>
      <c r="F8">
        <f>SUMIFS(Day1_Practice!G2:G6,Day1_Practice!H2:H6,"Dubai")</f>
        <v>9950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112</v>
      </c>
    </row>
    <row r="2" spans="1:1" x14ac:dyDescent="0.3">
      <c r="A2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112</v>
      </c>
    </row>
    <row r="2" spans="1:1" x14ac:dyDescent="0.3">
      <c r="A2" t="s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112</v>
      </c>
    </row>
    <row r="2" spans="1:1" x14ac:dyDescent="0.3">
      <c r="A2" t="s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112</v>
      </c>
    </row>
    <row r="2" spans="1:1" x14ac:dyDescent="0.3">
      <c r="A2" t="s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112</v>
      </c>
    </row>
    <row r="2" spans="1:1" x14ac:dyDescent="0.3">
      <c r="A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Employee_Data</vt:lpstr>
      <vt:lpstr>Day1_Practice</vt:lpstr>
      <vt:lpstr>Day2_Practice</vt:lpstr>
      <vt:lpstr>Day3_Practice</vt:lpstr>
      <vt:lpstr>Day4_Practice</vt:lpstr>
      <vt:lpstr>Day5_Practice</vt:lpstr>
      <vt:lpstr>Day6_Practice</vt:lpstr>
      <vt:lpstr>Day7_Practice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Inamul Hasan Mohamed Ibrahim</cp:lastModifiedBy>
  <dcterms:created xsi:type="dcterms:W3CDTF">2025-09-15T15:26:04Z</dcterms:created>
  <dcterms:modified xsi:type="dcterms:W3CDTF">2025-10-30T18:29:18Z</dcterms:modified>
</cp:coreProperties>
</file>